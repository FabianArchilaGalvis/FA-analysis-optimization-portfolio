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bound - Compras" sheetId="1" r:id="rId5"/>
    <sheet state="visible" name="Calculated_KPIs" sheetId="2" r:id="rId6"/>
    <sheet state="visible" name="Parameters" sheetId="3" r:id="rId7"/>
    <sheet state="visible" name="Report" sheetId="4" r:id="rId8"/>
  </sheets>
  <definedNames>
    <definedName hidden="1" localSheetId="1" name="_xlnm._FilterDatabase">Calculated_KPIs!$A$1:$Y$9</definedName>
    <definedName hidden="1" localSheetId="3" name="_xlnm._FilterDatabase">Report!$A$1:$AB$9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tc={922f0801-c7b9-45c9-bd92-95e67910e8b6}</author>
    <author>tc={b7d5f053-b36c-4fab-b3fb-7a0b97abe768}</author>
  </authors>
  <commentList>
    <comment authorId="0" xr:uid="{922f0801-c7b9-45c9-bd92-95e67910e8b6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columnas con fórmula
</t>
      </text>
    </comment>
    <comment authorId="1" xr:uid="{b7d5f053-b36c-4fab-b3fb-7a0b97abe7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datos crudos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tc={fa762329-fed5-45e4-95c2-8dcc998c0f01}</author>
  </authors>
  <commentList>
    <comment authorId="0" xr:uid="{fa762329-fed5-45e4-95c2-8dcc998c0f01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Debido a la poca variación presentada en el lead time, se considera que varios proveedores pueden cumplir los requerimientos de tiempo, por lo que se le asigna más peso al costo por unidad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tc={78a4c8a4-9d61-4e2e-ae8c-0334cad3f6c6}</author>
  </authors>
  <commentList>
    <comment authorId="0" xr:uid="{78a4c8a4-9d61-4e2e-ae8c-0334cad3f6c6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define la importancia/prioridad de los factores a analizar a la hora de calificar un proveedor
</t>
      </text>
    </comment>
  </commentList>
</comments>
</file>

<file path=xl/sharedStrings.xml><?xml version="1.0" encoding="utf-8"?>
<sst xmlns="http://schemas.openxmlformats.org/spreadsheetml/2006/main" count="274" uniqueCount="128">
  <si>
    <t>order_id</t>
  </si>
  <si>
    <t>supplier</t>
  </si>
  <si>
    <t>order_date</t>
  </si>
  <si>
    <t>dispatch_date</t>
  </si>
  <si>
    <t>receipt_date</t>
  </si>
  <si>
    <t>quantity_ordered</t>
  </si>
  <si>
    <t>transport_cost</t>
  </si>
  <si>
    <t>lead_time_days</t>
  </si>
  <si>
    <t>transport_lead_time</t>
  </si>
  <si>
    <t>OC001</t>
  </si>
  <si>
    <t>AlphaSup</t>
  </si>
  <si>
    <t>OC002</t>
  </si>
  <si>
    <t>BetaLog</t>
  </si>
  <si>
    <t>OC003</t>
  </si>
  <si>
    <t>GammaInd</t>
  </si>
  <si>
    <t>OC004</t>
  </si>
  <si>
    <t>DeltaCorp</t>
  </si>
  <si>
    <t>OC005</t>
  </si>
  <si>
    <t>EpsilonSA</t>
  </si>
  <si>
    <t>OC006</t>
  </si>
  <si>
    <t>ZetaTrade</t>
  </si>
  <si>
    <t>OC007</t>
  </si>
  <si>
    <t>EtaSupply</t>
  </si>
  <si>
    <t>OC008</t>
  </si>
  <si>
    <t>ThetaInd</t>
  </si>
  <si>
    <t>OC009</t>
  </si>
  <si>
    <t>OC010</t>
  </si>
  <si>
    <t>OC011</t>
  </si>
  <si>
    <t>OC012</t>
  </si>
  <si>
    <t>OC013</t>
  </si>
  <si>
    <t>OC014</t>
  </si>
  <si>
    <t>OC015</t>
  </si>
  <si>
    <t>OC016</t>
  </si>
  <si>
    <t>OC017</t>
  </si>
  <si>
    <t>OC018</t>
  </si>
  <si>
    <t>OC019</t>
  </si>
  <si>
    <t>OC020</t>
  </si>
  <si>
    <t>OC021</t>
  </si>
  <si>
    <t>OC022</t>
  </si>
  <si>
    <t>OC023</t>
  </si>
  <si>
    <t>OC024</t>
  </si>
  <si>
    <t>OC025</t>
  </si>
  <si>
    <t>OC026</t>
  </si>
  <si>
    <t>OC027</t>
  </si>
  <si>
    <t>OC028</t>
  </si>
  <si>
    <t>OC029</t>
  </si>
  <si>
    <t>OC030</t>
  </si>
  <si>
    <t>OC031</t>
  </si>
  <si>
    <t>OC032</t>
  </si>
  <si>
    <t>OC033</t>
  </si>
  <si>
    <t>OC034</t>
  </si>
  <si>
    <t>OC035</t>
  </si>
  <si>
    <t>OC036</t>
  </si>
  <si>
    <t>OC037</t>
  </si>
  <si>
    <t>OC038</t>
  </si>
  <si>
    <t>OC039</t>
  </si>
  <si>
    <t>OC040</t>
  </si>
  <si>
    <t>OC041</t>
  </si>
  <si>
    <t>OC042</t>
  </si>
  <si>
    <t>OC043</t>
  </si>
  <si>
    <t>OC044</t>
  </si>
  <si>
    <t>OC045</t>
  </si>
  <si>
    <t>OC046</t>
  </si>
  <si>
    <t>OC047</t>
  </si>
  <si>
    <t>OC048</t>
  </si>
  <si>
    <t>OC049</t>
  </si>
  <si>
    <t>OC050</t>
  </si>
  <si>
    <t>OC051</t>
  </si>
  <si>
    <t>OC052</t>
  </si>
  <si>
    <t>OC053</t>
  </si>
  <si>
    <t>OC054</t>
  </si>
  <si>
    <t>OC055</t>
  </si>
  <si>
    <t>OC056</t>
  </si>
  <si>
    <t>OC057</t>
  </si>
  <si>
    <t>OC058</t>
  </si>
  <si>
    <t>OC059</t>
  </si>
  <si>
    <t>OC060</t>
  </si>
  <si>
    <t>OC061</t>
  </si>
  <si>
    <t>OC062</t>
  </si>
  <si>
    <t>OC063</t>
  </si>
  <si>
    <t>OC064</t>
  </si>
  <si>
    <t>OC065</t>
  </si>
  <si>
    <t>OC066</t>
  </si>
  <si>
    <t>OC067</t>
  </si>
  <si>
    <t>OC068</t>
  </si>
  <si>
    <t>OC069</t>
  </si>
  <si>
    <t>OC070</t>
  </si>
  <si>
    <t>OC071</t>
  </si>
  <si>
    <t>OC072</t>
  </si>
  <si>
    <t>OC073</t>
  </si>
  <si>
    <t>OC074</t>
  </si>
  <si>
    <t>OC075</t>
  </si>
  <si>
    <t>OC076</t>
  </si>
  <si>
    <t>OC077</t>
  </si>
  <si>
    <t>OC078</t>
  </si>
  <si>
    <t>OC079</t>
  </si>
  <si>
    <t>OC080</t>
  </si>
  <si>
    <t>OC081</t>
  </si>
  <si>
    <t>OC082</t>
  </si>
  <si>
    <t>OC083</t>
  </si>
  <si>
    <t>OC084</t>
  </si>
  <si>
    <t>OC085</t>
  </si>
  <si>
    <t>OC086</t>
  </si>
  <si>
    <t>OC087</t>
  </si>
  <si>
    <t>OC088</t>
  </si>
  <si>
    <t>OC089</t>
  </si>
  <si>
    <t>OC090</t>
  </si>
  <si>
    <t>OC091</t>
  </si>
  <si>
    <t>OC092</t>
  </si>
  <si>
    <t>OC093</t>
  </si>
  <si>
    <t>OC094</t>
  </si>
  <si>
    <t>OC095</t>
  </si>
  <si>
    <t>OC096</t>
  </si>
  <si>
    <t>OC097</t>
  </si>
  <si>
    <t>OC098</t>
  </si>
  <si>
    <t>OC099</t>
  </si>
  <si>
    <t>OC100</t>
  </si>
  <si>
    <t>avg_lead_time</t>
  </si>
  <si>
    <t>std_lead_time</t>
  </si>
  <si>
    <t>avg_cost_per_unit</t>
  </si>
  <si>
    <t>lead_time_norm</t>
  </si>
  <si>
    <t>cost_norm</t>
  </si>
  <si>
    <t>weighted_score</t>
  </si>
  <si>
    <t>rank</t>
  </si>
  <si>
    <t>metric</t>
  </si>
  <si>
    <t>weight</t>
  </si>
  <si>
    <t>lead_time</t>
  </si>
  <si>
    <t>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</si>
</sst>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57BB8A"/>
        <bgColor rgb="FF57BB8A"/>
      </patternFill>
    </fill>
    <fill>
      <patternFill patternType="solid">
        <fgColor rgb="FF8DD1AF"/>
        <bgColor rgb="FF8DD1AF"/>
      </patternFill>
    </fill>
    <fill>
      <patternFill patternType="solid">
        <fgColor rgb="FFF0F9F5"/>
        <bgColor rgb="FFF0F9F5"/>
      </patternFill>
    </fill>
    <fill>
      <patternFill patternType="solid">
        <fgColor rgb="FFF7FBF9"/>
        <bgColor rgb="FFF7FBF9"/>
      </patternFill>
    </fill>
    <fill>
      <patternFill patternType="solid">
        <fgColor rgb="FFFFFCFC"/>
        <bgColor rgb="FFFFFCFC"/>
      </patternFill>
    </fill>
    <fill>
      <patternFill patternType="solid">
        <fgColor rgb="FFF6D0CD"/>
        <bgColor rgb="FFF6D0CD"/>
      </patternFill>
    </fill>
    <fill>
      <patternFill patternType="solid">
        <fgColor rgb="FFEFAAA4"/>
        <bgColor rgb="FFEFAAA4"/>
      </patternFill>
    </fill>
    <fill>
      <patternFill patternType="solid">
        <fgColor rgb="FFE67C73"/>
        <bgColor rgb="FFE67C7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2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horizontal="right" vertical="bottom"/>
    </xf>
    <xf borderId="0" fillId="4" fontId="4" numFmtId="2" xfId="0" applyAlignment="1" applyFill="1" applyFont="1" applyNumberFormat="1">
      <alignment horizontal="right" vertical="bottom"/>
    </xf>
    <xf borderId="0" fillId="5" fontId="4" numFmtId="2" xfId="0" applyAlignment="1" applyFill="1" applyFont="1" applyNumberFormat="1">
      <alignment horizontal="right" vertical="bottom"/>
    </xf>
    <xf borderId="0" fillId="6" fontId="4" numFmtId="2" xfId="0" applyAlignment="1" applyFill="1" applyFont="1" applyNumberFormat="1">
      <alignment horizontal="right" vertical="bottom"/>
    </xf>
    <xf borderId="0" fillId="7" fontId="4" numFmtId="2" xfId="0" applyAlignment="1" applyFill="1" applyFont="1" applyNumberFormat="1">
      <alignment horizontal="right" vertical="bottom"/>
    </xf>
    <xf borderId="0" fillId="8" fontId="4" numFmtId="2" xfId="0" applyAlignment="1" applyFill="1" applyFont="1" applyNumberFormat="1">
      <alignment horizontal="right" vertical="bottom"/>
    </xf>
    <xf borderId="0" fillId="9" fontId="4" numFmtId="2" xfId="0" applyAlignment="1" applyFill="1" applyFont="1" applyNumberFormat="1">
      <alignment horizontal="right" vertical="bottom"/>
    </xf>
    <xf borderId="0" fillId="10" fontId="4" numFmtId="2" xfId="0" applyAlignment="1" applyFill="1" applyFont="1" applyNumberFormat="1">
      <alignment horizontal="right" vertical="bottom"/>
    </xf>
    <xf borderId="0" fillId="11" fontId="4" numFmtId="2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E86300"/>
                </a:solidFill>
                <a:latin typeface="+mn-lt"/>
              </a:defRPr>
            </a:pPr>
            <a:r>
              <a:rPr b="1">
                <a:solidFill>
                  <a:srgbClr val="E86300"/>
                </a:solidFill>
                <a:latin typeface="+mn-lt"/>
              </a:rPr>
              <a:t>Average lead time by Supplier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Report!$B$12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Report!$A$13:$A$20</c:f>
            </c:strRef>
          </c:cat>
          <c:val>
            <c:numRef>
              <c:f>Report!$B$13:$B$20</c:f>
              <c:numCache/>
            </c:numRef>
          </c:val>
        </c:ser>
        <c:axId val="1604871408"/>
        <c:axId val="508518192"/>
      </c:barChart>
      <c:catAx>
        <c:axId val="160487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518192"/>
      </c:catAx>
      <c:valAx>
        <c:axId val="508518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avg_lead_time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8714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90000"/>
                </a:solidFill>
                <a:latin typeface="+mn-lt"/>
              </a:defRPr>
            </a:pPr>
            <a:r>
              <a:rPr b="1">
                <a:solidFill>
                  <a:srgbClr val="990000"/>
                </a:solidFill>
                <a:latin typeface="+mn-lt"/>
              </a:rPr>
              <a:t>Average cost per unit by Supplier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Report!$B$22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Report!$A$23:$A$30</c:f>
            </c:strRef>
          </c:cat>
          <c:val>
            <c:numRef>
              <c:f>Report!$B$23:$B$30</c:f>
              <c:numCache/>
            </c:numRef>
          </c:val>
        </c:ser>
        <c:axId val="2039336377"/>
        <c:axId val="130129062"/>
      </c:barChart>
      <c:catAx>
        <c:axId val="2039336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29062"/>
      </c:catAx>
      <c:valAx>
        <c:axId val="130129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avg_cost_per_unit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336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4CB06"/>
                </a:solidFill>
                <a:latin typeface="+mn-lt"/>
              </a:defRPr>
            </a:pPr>
            <a:r>
              <a:rPr b="1">
                <a:solidFill>
                  <a:srgbClr val="24CB06"/>
                </a:solidFill>
                <a:latin typeface="+mn-lt"/>
              </a:rPr>
              <a:t>Supplier Ranking (menor es mejor)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Report!$B$33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Report!$A$34:$A$41</c:f>
            </c:strRef>
          </c:cat>
          <c:val>
            <c:numRef>
              <c:f>Report!$B$34:$B$41</c:f>
              <c:numCache/>
            </c:numRef>
          </c:val>
        </c:ser>
        <c:axId val="1931055982"/>
        <c:axId val="2046717299"/>
      </c:barChart>
      <c:catAx>
        <c:axId val="1931055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717299"/>
      </c:catAx>
      <c:valAx>
        <c:axId val="2046717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weighted_score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055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9</xdr:row>
      <xdr:rowOff>133350</xdr:rowOff>
    </xdr:from>
    <xdr:ext cx="4457700" cy="2762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533400</xdr:colOff>
      <xdr:row>9</xdr:row>
      <xdr:rowOff>133350</xdr:rowOff>
    </xdr:from>
    <xdr:ext cx="4457700" cy="27622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114300</xdr:colOff>
      <xdr:row>23</xdr:row>
      <xdr:rowOff>19050</xdr:rowOff>
    </xdr:from>
    <xdr:ext cx="7381875" cy="2762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fabian archila galvis" id="{7d111e51-3945-48a4-bd4a-e0e4b6c71d9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1-27T16:04:45.00" personId="{7d111e51-3945-48a4-bd4a-e0e4b6c71d9b}" id="{922f0801-c7b9-45c9-bd92-95e67910e8b6}" done="0">
    <x18tc:text xml:space="preserve">columnas con fórmula</x18tc:text>
  </x18tc:threadedComment>
  <x18tc:threadedComment ref="A1" dT="2026-01-27T16:05:04.00" personId="{7d111e51-3945-48a4-bd4a-e0e4b6c71d9b}" id="{b7d5f053-b36c-4fab-b3fb-7a0b97abe768}" done="0">
    <x18tc:text xml:space="preserve">datos crudos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1-24T01:21:38.00" personId="{7d111e51-3945-48a4-bd4a-e0e4b6c71d9b}" id="{fa762329-fed5-45e4-95c2-8dcc998c0f01}" done="0">
    <x18tc:text xml:space="preserve">Debido a la poca variación presentada en el lead time, se considera que varios proveedores pueden cumplir los requerimientos de tiempo, por lo que se le asigna más peso al costo por unidad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1-27T16:08:59.00" personId="{7d111e51-3945-48a4-bd4a-e0e4b6c71d9b}" id="{78a4c8a4-9d61-4e2e-ae8c-0334cad3f6c6}" done="0">
    <x18tc:text xml:space="preserve">define la importancia/prioridad de los factores a analizar a la hora de calificar un proveedor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5" width="14.38"/>
    <col customWidth="1" min="6" max="6" width="9.0"/>
    <col customWidth="1" min="7" max="7" width="8.75"/>
    <col customWidth="1" min="8" max="9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5">
        <v>45658.0</v>
      </c>
      <c r="D2" s="5">
        <v>45660.0</v>
      </c>
      <c r="E2" s="5">
        <v>45664.0</v>
      </c>
      <c r="F2" s="4">
        <v>120.0</v>
      </c>
      <c r="G2" s="4">
        <v>420.0</v>
      </c>
      <c r="H2" s="6">
        <f t="shared" ref="H2:H101" si="1">E2-C2</f>
        <v>6</v>
      </c>
      <c r="I2" s="6">
        <f t="shared" ref="I2:I101" si="2">D2-C2</f>
        <v>2</v>
      </c>
    </row>
    <row r="3">
      <c r="A3" s="4" t="s">
        <v>11</v>
      </c>
      <c r="B3" s="4" t="s">
        <v>12</v>
      </c>
      <c r="C3" s="5">
        <v>45659.0</v>
      </c>
      <c r="D3" s="5">
        <v>45663.0</v>
      </c>
      <c r="E3" s="5">
        <v>45669.0</v>
      </c>
      <c r="F3" s="4">
        <v>80.0</v>
      </c>
      <c r="G3" s="4">
        <v>520.0</v>
      </c>
      <c r="H3" s="6">
        <f t="shared" si="1"/>
        <v>10</v>
      </c>
      <c r="I3" s="6">
        <f t="shared" si="2"/>
        <v>4</v>
      </c>
    </row>
    <row r="4">
      <c r="A4" s="4" t="s">
        <v>13</v>
      </c>
      <c r="B4" s="4" t="s">
        <v>14</v>
      </c>
      <c r="C4" s="5">
        <v>45660.0</v>
      </c>
      <c r="D4" s="5">
        <v>45664.0</v>
      </c>
      <c r="E4" s="5">
        <v>45673.0</v>
      </c>
      <c r="F4" s="4">
        <v>200.0</v>
      </c>
      <c r="G4" s="4">
        <v>680.0</v>
      </c>
      <c r="H4" s="6">
        <f t="shared" si="1"/>
        <v>13</v>
      </c>
      <c r="I4" s="6">
        <f t="shared" si="2"/>
        <v>4</v>
      </c>
    </row>
    <row r="5">
      <c r="A5" s="4" t="s">
        <v>15</v>
      </c>
      <c r="B5" s="4" t="s">
        <v>16</v>
      </c>
      <c r="C5" s="5">
        <v>45661.0</v>
      </c>
      <c r="D5" s="5">
        <v>45662.0</v>
      </c>
      <c r="E5" s="5">
        <v>45666.0</v>
      </c>
      <c r="F5" s="4">
        <v>150.0</v>
      </c>
      <c r="G5" s="4">
        <v>460.0</v>
      </c>
      <c r="H5" s="6">
        <f t="shared" si="1"/>
        <v>5</v>
      </c>
      <c r="I5" s="6">
        <f t="shared" si="2"/>
        <v>1</v>
      </c>
    </row>
    <row r="6">
      <c r="A6" s="4" t="s">
        <v>17</v>
      </c>
      <c r="B6" s="4" t="s">
        <v>18</v>
      </c>
      <c r="C6" s="5">
        <v>45662.0</v>
      </c>
      <c r="D6" s="5">
        <v>45667.0</v>
      </c>
      <c r="E6" s="5">
        <v>45675.0</v>
      </c>
      <c r="F6" s="4">
        <v>90.0</v>
      </c>
      <c r="G6" s="4">
        <v>610.0</v>
      </c>
      <c r="H6" s="6">
        <f t="shared" si="1"/>
        <v>13</v>
      </c>
      <c r="I6" s="6">
        <f t="shared" si="2"/>
        <v>5</v>
      </c>
    </row>
    <row r="7">
      <c r="A7" s="4" t="s">
        <v>19</v>
      </c>
      <c r="B7" s="4" t="s">
        <v>20</v>
      </c>
      <c r="C7" s="5">
        <v>45663.0</v>
      </c>
      <c r="D7" s="5">
        <v>45665.0</v>
      </c>
      <c r="E7" s="5">
        <v>45671.0</v>
      </c>
      <c r="F7" s="4">
        <v>110.0</v>
      </c>
      <c r="G7" s="4">
        <v>500.0</v>
      </c>
      <c r="H7" s="6">
        <f t="shared" si="1"/>
        <v>8</v>
      </c>
      <c r="I7" s="6">
        <f t="shared" si="2"/>
        <v>2</v>
      </c>
    </row>
    <row r="8">
      <c r="A8" s="4" t="s">
        <v>21</v>
      </c>
      <c r="B8" s="4" t="s">
        <v>22</v>
      </c>
      <c r="C8" s="5">
        <v>45664.0</v>
      </c>
      <c r="D8" s="5">
        <v>45666.0</v>
      </c>
      <c r="E8" s="5">
        <v>45672.0</v>
      </c>
      <c r="F8" s="4">
        <v>130.0</v>
      </c>
      <c r="G8" s="4">
        <v>540.0</v>
      </c>
      <c r="H8" s="6">
        <f t="shared" si="1"/>
        <v>8</v>
      </c>
      <c r="I8" s="6">
        <f t="shared" si="2"/>
        <v>2</v>
      </c>
    </row>
    <row r="9">
      <c r="A9" s="4" t="s">
        <v>23</v>
      </c>
      <c r="B9" s="4" t="s">
        <v>24</v>
      </c>
      <c r="C9" s="5">
        <v>45665.0</v>
      </c>
      <c r="D9" s="5">
        <v>45669.0</v>
      </c>
      <c r="E9" s="5">
        <v>45678.0</v>
      </c>
      <c r="F9" s="4">
        <v>170.0</v>
      </c>
      <c r="G9" s="4">
        <v>720.0</v>
      </c>
      <c r="H9" s="6">
        <f t="shared" si="1"/>
        <v>13</v>
      </c>
      <c r="I9" s="6">
        <f t="shared" si="2"/>
        <v>4</v>
      </c>
    </row>
    <row r="10">
      <c r="A10" s="4" t="s">
        <v>25</v>
      </c>
      <c r="B10" s="4" t="s">
        <v>10</v>
      </c>
      <c r="C10" s="5">
        <v>45666.0</v>
      </c>
      <c r="D10" s="5">
        <v>45668.0</v>
      </c>
      <c r="E10" s="5">
        <v>45672.0</v>
      </c>
      <c r="F10" s="4">
        <v>140.0</v>
      </c>
      <c r="G10" s="4">
        <v>430.0</v>
      </c>
      <c r="H10" s="6">
        <f t="shared" si="1"/>
        <v>6</v>
      </c>
      <c r="I10" s="6">
        <f t="shared" si="2"/>
        <v>2</v>
      </c>
    </row>
    <row r="11">
      <c r="A11" s="4" t="s">
        <v>26</v>
      </c>
      <c r="B11" s="4" t="s">
        <v>12</v>
      </c>
      <c r="C11" s="5">
        <v>45667.0</v>
      </c>
      <c r="D11" s="5">
        <v>45671.0</v>
      </c>
      <c r="E11" s="5">
        <v>45677.0</v>
      </c>
      <c r="F11" s="4">
        <v>75.0</v>
      </c>
      <c r="G11" s="4">
        <v>515.0</v>
      </c>
      <c r="H11" s="6">
        <f t="shared" si="1"/>
        <v>10</v>
      </c>
      <c r="I11" s="6">
        <f t="shared" si="2"/>
        <v>4</v>
      </c>
    </row>
    <row r="12">
      <c r="A12" s="4" t="s">
        <v>27</v>
      </c>
      <c r="B12" s="4" t="s">
        <v>14</v>
      </c>
      <c r="C12" s="5">
        <v>45668.0</v>
      </c>
      <c r="D12" s="5">
        <v>45672.0</v>
      </c>
      <c r="E12" s="5">
        <v>45681.0</v>
      </c>
      <c r="F12" s="4">
        <v>210.0</v>
      </c>
      <c r="G12" s="4">
        <v>700.0</v>
      </c>
      <c r="H12" s="6">
        <f t="shared" si="1"/>
        <v>13</v>
      </c>
      <c r="I12" s="6">
        <f t="shared" si="2"/>
        <v>4</v>
      </c>
    </row>
    <row r="13">
      <c r="A13" s="4" t="s">
        <v>28</v>
      </c>
      <c r="B13" s="4" t="s">
        <v>16</v>
      </c>
      <c r="C13" s="5">
        <v>45669.0</v>
      </c>
      <c r="D13" s="5">
        <v>45670.0</v>
      </c>
      <c r="E13" s="5">
        <v>45674.0</v>
      </c>
      <c r="F13" s="4">
        <v>160.0</v>
      </c>
      <c r="G13" s="4">
        <v>470.0</v>
      </c>
      <c r="H13" s="6">
        <f t="shared" si="1"/>
        <v>5</v>
      </c>
      <c r="I13" s="6">
        <f t="shared" si="2"/>
        <v>1</v>
      </c>
    </row>
    <row r="14">
      <c r="A14" s="4" t="s">
        <v>29</v>
      </c>
      <c r="B14" s="4" t="s">
        <v>18</v>
      </c>
      <c r="C14" s="5">
        <v>45670.0</v>
      </c>
      <c r="D14" s="5">
        <v>45675.0</v>
      </c>
      <c r="E14" s="5">
        <v>45683.0</v>
      </c>
      <c r="F14" s="4">
        <v>95.0</v>
      </c>
      <c r="G14" s="4">
        <v>630.0</v>
      </c>
      <c r="H14" s="6">
        <f t="shared" si="1"/>
        <v>13</v>
      </c>
      <c r="I14" s="6">
        <f t="shared" si="2"/>
        <v>5</v>
      </c>
    </row>
    <row r="15">
      <c r="A15" s="4" t="s">
        <v>30</v>
      </c>
      <c r="B15" s="4" t="s">
        <v>20</v>
      </c>
      <c r="C15" s="5">
        <v>45671.0</v>
      </c>
      <c r="D15" s="5">
        <v>45673.0</v>
      </c>
      <c r="E15" s="5">
        <v>45679.0</v>
      </c>
      <c r="F15" s="4">
        <v>115.0</v>
      </c>
      <c r="G15" s="4">
        <v>505.0</v>
      </c>
      <c r="H15" s="6">
        <f t="shared" si="1"/>
        <v>8</v>
      </c>
      <c r="I15" s="6">
        <f t="shared" si="2"/>
        <v>2</v>
      </c>
    </row>
    <row r="16">
      <c r="A16" s="4" t="s">
        <v>31</v>
      </c>
      <c r="B16" s="4" t="s">
        <v>22</v>
      </c>
      <c r="C16" s="5">
        <v>45672.0</v>
      </c>
      <c r="D16" s="5">
        <v>45674.0</v>
      </c>
      <c r="E16" s="5">
        <v>45680.0</v>
      </c>
      <c r="F16" s="4">
        <v>135.0</v>
      </c>
      <c r="G16" s="4">
        <v>550.0</v>
      </c>
      <c r="H16" s="6">
        <f t="shared" si="1"/>
        <v>8</v>
      </c>
      <c r="I16" s="6">
        <f t="shared" si="2"/>
        <v>2</v>
      </c>
    </row>
    <row r="17">
      <c r="A17" s="4" t="s">
        <v>32</v>
      </c>
      <c r="B17" s="4" t="s">
        <v>24</v>
      </c>
      <c r="C17" s="5">
        <v>45673.0</v>
      </c>
      <c r="D17" s="5">
        <v>45678.0</v>
      </c>
      <c r="E17" s="5">
        <v>45687.0</v>
      </c>
      <c r="F17" s="4">
        <v>180.0</v>
      </c>
      <c r="G17" s="4">
        <v>740.0</v>
      </c>
      <c r="H17" s="6">
        <f t="shared" si="1"/>
        <v>14</v>
      </c>
      <c r="I17" s="6">
        <f t="shared" si="2"/>
        <v>5</v>
      </c>
    </row>
    <row r="18">
      <c r="A18" s="4" t="s">
        <v>33</v>
      </c>
      <c r="B18" s="4" t="s">
        <v>10</v>
      </c>
      <c r="C18" s="5">
        <v>45674.0</v>
      </c>
      <c r="D18" s="5">
        <v>45675.0</v>
      </c>
      <c r="E18" s="5">
        <v>45679.0</v>
      </c>
      <c r="F18" s="4">
        <v>125.0</v>
      </c>
      <c r="G18" s="4">
        <v>425.0</v>
      </c>
      <c r="H18" s="6">
        <f t="shared" si="1"/>
        <v>5</v>
      </c>
      <c r="I18" s="6">
        <f t="shared" si="2"/>
        <v>1</v>
      </c>
    </row>
    <row r="19">
      <c r="A19" s="4" t="s">
        <v>34</v>
      </c>
      <c r="B19" s="4" t="s">
        <v>12</v>
      </c>
      <c r="C19" s="5">
        <v>45675.0</v>
      </c>
      <c r="D19" s="5">
        <v>45679.0</v>
      </c>
      <c r="E19" s="5">
        <v>45685.0</v>
      </c>
      <c r="F19" s="4">
        <v>85.0</v>
      </c>
      <c r="G19" s="4">
        <v>530.0</v>
      </c>
      <c r="H19" s="6">
        <f t="shared" si="1"/>
        <v>10</v>
      </c>
      <c r="I19" s="6">
        <f t="shared" si="2"/>
        <v>4</v>
      </c>
    </row>
    <row r="20">
      <c r="A20" s="4" t="s">
        <v>35</v>
      </c>
      <c r="B20" s="4" t="s">
        <v>14</v>
      </c>
      <c r="C20" s="5">
        <v>45676.0</v>
      </c>
      <c r="D20" s="5">
        <v>45680.0</v>
      </c>
      <c r="E20" s="5">
        <v>45690.0</v>
      </c>
      <c r="F20" s="4">
        <v>220.0</v>
      </c>
      <c r="G20" s="4">
        <v>710.0</v>
      </c>
      <c r="H20" s="6">
        <f t="shared" si="1"/>
        <v>14</v>
      </c>
      <c r="I20" s="6">
        <f t="shared" si="2"/>
        <v>4</v>
      </c>
    </row>
    <row r="21">
      <c r="A21" s="4" t="s">
        <v>36</v>
      </c>
      <c r="B21" s="4" t="s">
        <v>16</v>
      </c>
      <c r="C21" s="5">
        <v>45677.0</v>
      </c>
      <c r="D21" s="5">
        <v>45678.0</v>
      </c>
      <c r="E21" s="5">
        <v>45682.0</v>
      </c>
      <c r="F21" s="4">
        <v>155.0</v>
      </c>
      <c r="G21" s="4">
        <v>465.0</v>
      </c>
      <c r="H21" s="6">
        <f t="shared" si="1"/>
        <v>5</v>
      </c>
      <c r="I21" s="6">
        <f t="shared" si="2"/>
        <v>1</v>
      </c>
    </row>
    <row r="22">
      <c r="A22" s="4" t="s">
        <v>37</v>
      </c>
      <c r="B22" s="4" t="s">
        <v>18</v>
      </c>
      <c r="C22" s="5">
        <v>45678.0</v>
      </c>
      <c r="D22" s="5">
        <v>45683.0</v>
      </c>
      <c r="E22" s="5">
        <v>45691.0</v>
      </c>
      <c r="F22" s="4">
        <v>100.0</v>
      </c>
      <c r="G22" s="4">
        <v>620.0</v>
      </c>
      <c r="H22" s="6">
        <f t="shared" si="1"/>
        <v>13</v>
      </c>
      <c r="I22" s="6">
        <f t="shared" si="2"/>
        <v>5</v>
      </c>
    </row>
    <row r="23">
      <c r="A23" s="4" t="s">
        <v>38</v>
      </c>
      <c r="B23" s="4" t="s">
        <v>20</v>
      </c>
      <c r="C23" s="5">
        <v>45679.0</v>
      </c>
      <c r="D23" s="5">
        <v>45681.0</v>
      </c>
      <c r="E23" s="5">
        <v>45687.0</v>
      </c>
      <c r="F23" s="4">
        <v>120.0</v>
      </c>
      <c r="G23" s="4">
        <v>510.0</v>
      </c>
      <c r="H23" s="6">
        <f t="shared" si="1"/>
        <v>8</v>
      </c>
      <c r="I23" s="6">
        <f t="shared" si="2"/>
        <v>2</v>
      </c>
    </row>
    <row r="24">
      <c r="A24" s="4" t="s">
        <v>39</v>
      </c>
      <c r="B24" s="4" t="s">
        <v>22</v>
      </c>
      <c r="C24" s="5">
        <v>45680.0</v>
      </c>
      <c r="D24" s="5">
        <v>45682.0</v>
      </c>
      <c r="E24" s="5">
        <v>45688.0</v>
      </c>
      <c r="F24" s="4">
        <v>140.0</v>
      </c>
      <c r="G24" s="4">
        <v>560.0</v>
      </c>
      <c r="H24" s="6">
        <f t="shared" si="1"/>
        <v>8</v>
      </c>
      <c r="I24" s="6">
        <f t="shared" si="2"/>
        <v>2</v>
      </c>
    </row>
    <row r="25">
      <c r="A25" s="4" t="s">
        <v>40</v>
      </c>
      <c r="B25" s="4" t="s">
        <v>24</v>
      </c>
      <c r="C25" s="5">
        <v>45681.0</v>
      </c>
      <c r="D25" s="5">
        <v>45686.0</v>
      </c>
      <c r="E25" s="5">
        <v>45695.0</v>
      </c>
      <c r="F25" s="4">
        <v>190.0</v>
      </c>
      <c r="G25" s="4">
        <v>750.0</v>
      </c>
      <c r="H25" s="6">
        <f t="shared" si="1"/>
        <v>14</v>
      </c>
      <c r="I25" s="6">
        <f t="shared" si="2"/>
        <v>5</v>
      </c>
    </row>
    <row r="26">
      <c r="A26" s="4" t="s">
        <v>41</v>
      </c>
      <c r="B26" s="4" t="s">
        <v>10</v>
      </c>
      <c r="C26" s="5">
        <v>45682.0</v>
      </c>
      <c r="D26" s="5">
        <v>45684.0</v>
      </c>
      <c r="E26" s="5">
        <v>45688.0</v>
      </c>
      <c r="F26" s="4">
        <v>130.0</v>
      </c>
      <c r="G26" s="4">
        <v>435.0</v>
      </c>
      <c r="H26" s="6">
        <f t="shared" si="1"/>
        <v>6</v>
      </c>
      <c r="I26" s="6">
        <f t="shared" si="2"/>
        <v>2</v>
      </c>
    </row>
    <row r="27">
      <c r="A27" s="4" t="s">
        <v>42</v>
      </c>
      <c r="B27" s="4" t="s">
        <v>12</v>
      </c>
      <c r="C27" s="5">
        <v>45683.0</v>
      </c>
      <c r="D27" s="5">
        <v>45687.0</v>
      </c>
      <c r="E27" s="5">
        <v>45693.0</v>
      </c>
      <c r="F27" s="4">
        <v>90.0</v>
      </c>
      <c r="G27" s="4">
        <v>525.0</v>
      </c>
      <c r="H27" s="6">
        <f t="shared" si="1"/>
        <v>10</v>
      </c>
      <c r="I27" s="6">
        <f t="shared" si="2"/>
        <v>4</v>
      </c>
    </row>
    <row r="28">
      <c r="A28" s="4" t="s">
        <v>43</v>
      </c>
      <c r="B28" s="4" t="s">
        <v>14</v>
      </c>
      <c r="C28" s="5">
        <v>45684.0</v>
      </c>
      <c r="D28" s="5">
        <v>45688.0</v>
      </c>
      <c r="E28" s="5">
        <v>45697.0</v>
      </c>
      <c r="F28" s="4">
        <v>230.0</v>
      </c>
      <c r="G28" s="4">
        <v>720.0</v>
      </c>
      <c r="H28" s="6">
        <f t="shared" si="1"/>
        <v>13</v>
      </c>
      <c r="I28" s="6">
        <f t="shared" si="2"/>
        <v>4</v>
      </c>
    </row>
    <row r="29">
      <c r="A29" s="4" t="s">
        <v>44</v>
      </c>
      <c r="B29" s="4" t="s">
        <v>16</v>
      </c>
      <c r="C29" s="5">
        <v>45685.0</v>
      </c>
      <c r="D29" s="5">
        <v>45686.0</v>
      </c>
      <c r="E29" s="5">
        <v>45690.0</v>
      </c>
      <c r="F29" s="4">
        <v>165.0</v>
      </c>
      <c r="G29" s="4">
        <v>470.0</v>
      </c>
      <c r="H29" s="6">
        <f t="shared" si="1"/>
        <v>5</v>
      </c>
      <c r="I29" s="6">
        <f t="shared" si="2"/>
        <v>1</v>
      </c>
    </row>
    <row r="30">
      <c r="A30" s="4" t="s">
        <v>45</v>
      </c>
      <c r="B30" s="4" t="s">
        <v>18</v>
      </c>
      <c r="C30" s="5">
        <v>45686.0</v>
      </c>
      <c r="D30" s="5">
        <v>45691.0</v>
      </c>
      <c r="E30" s="5">
        <v>45699.0</v>
      </c>
      <c r="F30" s="4">
        <v>105.0</v>
      </c>
      <c r="G30" s="4">
        <v>640.0</v>
      </c>
      <c r="H30" s="6">
        <f t="shared" si="1"/>
        <v>13</v>
      </c>
      <c r="I30" s="6">
        <f t="shared" si="2"/>
        <v>5</v>
      </c>
    </row>
    <row r="31">
      <c r="A31" s="4" t="s">
        <v>46</v>
      </c>
      <c r="B31" s="4" t="s">
        <v>20</v>
      </c>
      <c r="C31" s="5">
        <v>45687.0</v>
      </c>
      <c r="D31" s="5">
        <v>45689.0</v>
      </c>
      <c r="E31" s="5">
        <v>45694.0</v>
      </c>
      <c r="F31" s="4">
        <v>125.0</v>
      </c>
      <c r="G31" s="4">
        <v>515.0</v>
      </c>
      <c r="H31" s="6">
        <f t="shared" si="1"/>
        <v>7</v>
      </c>
      <c r="I31" s="6">
        <f t="shared" si="2"/>
        <v>2</v>
      </c>
    </row>
    <row r="32">
      <c r="A32" s="4" t="s">
        <v>47</v>
      </c>
      <c r="B32" s="4" t="s">
        <v>22</v>
      </c>
      <c r="C32" s="5">
        <v>45688.0</v>
      </c>
      <c r="D32" s="5">
        <v>45690.0</v>
      </c>
      <c r="E32" s="5">
        <v>45696.0</v>
      </c>
      <c r="F32" s="4">
        <v>145.0</v>
      </c>
      <c r="G32" s="4">
        <v>565.0</v>
      </c>
      <c r="H32" s="6">
        <f t="shared" si="1"/>
        <v>8</v>
      </c>
      <c r="I32" s="6">
        <f t="shared" si="2"/>
        <v>2</v>
      </c>
    </row>
    <row r="33">
      <c r="A33" s="4" t="s">
        <v>48</v>
      </c>
      <c r="B33" s="4" t="s">
        <v>24</v>
      </c>
      <c r="C33" s="5">
        <v>45689.0</v>
      </c>
      <c r="D33" s="5">
        <v>45694.0</v>
      </c>
      <c r="E33" s="5">
        <v>45703.0</v>
      </c>
      <c r="F33" s="4">
        <v>195.0</v>
      </c>
      <c r="G33" s="4">
        <v>760.0</v>
      </c>
      <c r="H33" s="6">
        <f t="shared" si="1"/>
        <v>14</v>
      </c>
      <c r="I33" s="6">
        <f t="shared" si="2"/>
        <v>5</v>
      </c>
    </row>
    <row r="34">
      <c r="A34" s="4" t="s">
        <v>49</v>
      </c>
      <c r="B34" s="4" t="s">
        <v>10</v>
      </c>
      <c r="C34" s="5">
        <v>45690.0</v>
      </c>
      <c r="D34" s="5">
        <v>45692.0</v>
      </c>
      <c r="E34" s="5">
        <v>45696.0</v>
      </c>
      <c r="F34" s="4">
        <v>135.0</v>
      </c>
      <c r="G34" s="4">
        <v>440.0</v>
      </c>
      <c r="H34" s="6">
        <f t="shared" si="1"/>
        <v>6</v>
      </c>
      <c r="I34" s="6">
        <f t="shared" si="2"/>
        <v>2</v>
      </c>
    </row>
    <row r="35">
      <c r="A35" s="4" t="s">
        <v>50</v>
      </c>
      <c r="B35" s="4" t="s">
        <v>12</v>
      </c>
      <c r="C35" s="5">
        <v>45691.0</v>
      </c>
      <c r="D35" s="5">
        <v>45695.0</v>
      </c>
      <c r="E35" s="5">
        <v>45701.0</v>
      </c>
      <c r="F35" s="4">
        <v>95.0</v>
      </c>
      <c r="G35" s="4">
        <v>530.0</v>
      </c>
      <c r="H35" s="6">
        <f t="shared" si="1"/>
        <v>10</v>
      </c>
      <c r="I35" s="6">
        <f t="shared" si="2"/>
        <v>4</v>
      </c>
    </row>
    <row r="36">
      <c r="A36" s="4" t="s">
        <v>51</v>
      </c>
      <c r="B36" s="4" t="s">
        <v>14</v>
      </c>
      <c r="C36" s="5">
        <v>45692.0</v>
      </c>
      <c r="D36" s="5">
        <v>45696.0</v>
      </c>
      <c r="E36" s="5">
        <v>45706.0</v>
      </c>
      <c r="F36" s="4">
        <v>240.0</v>
      </c>
      <c r="G36" s="4">
        <v>730.0</v>
      </c>
      <c r="H36" s="6">
        <f t="shared" si="1"/>
        <v>14</v>
      </c>
      <c r="I36" s="6">
        <f t="shared" si="2"/>
        <v>4</v>
      </c>
    </row>
    <row r="37">
      <c r="A37" s="4" t="s">
        <v>52</v>
      </c>
      <c r="B37" s="4" t="s">
        <v>16</v>
      </c>
      <c r="C37" s="5">
        <v>45693.0</v>
      </c>
      <c r="D37" s="5">
        <v>45694.0</v>
      </c>
      <c r="E37" s="5">
        <v>45698.0</v>
      </c>
      <c r="F37" s="4">
        <v>170.0</v>
      </c>
      <c r="G37" s="4">
        <v>475.0</v>
      </c>
      <c r="H37" s="6">
        <f t="shared" si="1"/>
        <v>5</v>
      </c>
      <c r="I37" s="6">
        <f t="shared" si="2"/>
        <v>1</v>
      </c>
    </row>
    <row r="38">
      <c r="A38" s="4" t="s">
        <v>53</v>
      </c>
      <c r="B38" s="4" t="s">
        <v>18</v>
      </c>
      <c r="C38" s="5">
        <v>45694.0</v>
      </c>
      <c r="D38" s="5">
        <v>45699.0</v>
      </c>
      <c r="E38" s="5">
        <v>45707.0</v>
      </c>
      <c r="F38" s="4">
        <v>110.0</v>
      </c>
      <c r="G38" s="4">
        <v>650.0</v>
      </c>
      <c r="H38" s="6">
        <f t="shared" si="1"/>
        <v>13</v>
      </c>
      <c r="I38" s="6">
        <f t="shared" si="2"/>
        <v>5</v>
      </c>
    </row>
    <row r="39">
      <c r="A39" s="4" t="s">
        <v>54</v>
      </c>
      <c r="B39" s="4" t="s">
        <v>20</v>
      </c>
      <c r="C39" s="5">
        <v>45695.0</v>
      </c>
      <c r="D39" s="5">
        <v>45697.0</v>
      </c>
      <c r="E39" s="5">
        <v>45702.0</v>
      </c>
      <c r="F39" s="4">
        <v>130.0</v>
      </c>
      <c r="G39" s="4">
        <v>520.0</v>
      </c>
      <c r="H39" s="6">
        <f t="shared" si="1"/>
        <v>7</v>
      </c>
      <c r="I39" s="6">
        <f t="shared" si="2"/>
        <v>2</v>
      </c>
    </row>
    <row r="40">
      <c r="A40" s="4" t="s">
        <v>55</v>
      </c>
      <c r="B40" s="4" t="s">
        <v>22</v>
      </c>
      <c r="C40" s="5">
        <v>45696.0</v>
      </c>
      <c r="D40" s="5">
        <v>45698.0</v>
      </c>
      <c r="E40" s="5">
        <v>45704.0</v>
      </c>
      <c r="F40" s="4">
        <v>150.0</v>
      </c>
      <c r="G40" s="4">
        <v>570.0</v>
      </c>
      <c r="H40" s="6">
        <f t="shared" si="1"/>
        <v>8</v>
      </c>
      <c r="I40" s="6">
        <f t="shared" si="2"/>
        <v>2</v>
      </c>
    </row>
    <row r="41">
      <c r="A41" s="4" t="s">
        <v>56</v>
      </c>
      <c r="B41" s="4" t="s">
        <v>24</v>
      </c>
      <c r="C41" s="5">
        <v>45697.0</v>
      </c>
      <c r="D41" s="5">
        <v>45702.0</v>
      </c>
      <c r="E41" s="5">
        <v>45711.0</v>
      </c>
      <c r="F41" s="4">
        <v>200.0</v>
      </c>
      <c r="G41" s="4">
        <v>770.0</v>
      </c>
      <c r="H41" s="6">
        <f t="shared" si="1"/>
        <v>14</v>
      </c>
      <c r="I41" s="6">
        <f t="shared" si="2"/>
        <v>5</v>
      </c>
    </row>
    <row r="42">
      <c r="A42" s="4" t="s">
        <v>57</v>
      </c>
      <c r="B42" s="4" t="s">
        <v>10</v>
      </c>
      <c r="C42" s="5">
        <v>45698.0</v>
      </c>
      <c r="D42" s="5">
        <v>45700.0</v>
      </c>
      <c r="E42" s="5">
        <v>45704.0</v>
      </c>
      <c r="F42" s="4">
        <v>140.0</v>
      </c>
      <c r="G42" s="4">
        <v>445.0</v>
      </c>
      <c r="H42" s="6">
        <f t="shared" si="1"/>
        <v>6</v>
      </c>
      <c r="I42" s="6">
        <f t="shared" si="2"/>
        <v>2</v>
      </c>
    </row>
    <row r="43">
      <c r="A43" s="4" t="s">
        <v>58</v>
      </c>
      <c r="B43" s="4" t="s">
        <v>12</v>
      </c>
      <c r="C43" s="5">
        <v>45699.0</v>
      </c>
      <c r="D43" s="5">
        <v>45703.0</v>
      </c>
      <c r="E43" s="5">
        <v>45709.0</v>
      </c>
      <c r="F43" s="4">
        <v>100.0</v>
      </c>
      <c r="G43" s="4">
        <v>535.0</v>
      </c>
      <c r="H43" s="6">
        <f t="shared" si="1"/>
        <v>10</v>
      </c>
      <c r="I43" s="6">
        <f t="shared" si="2"/>
        <v>4</v>
      </c>
    </row>
    <row r="44">
      <c r="A44" s="4" t="s">
        <v>59</v>
      </c>
      <c r="B44" s="4" t="s">
        <v>14</v>
      </c>
      <c r="C44" s="5">
        <v>45700.0</v>
      </c>
      <c r="D44" s="5">
        <v>45704.0</v>
      </c>
      <c r="E44" s="5">
        <v>45714.0</v>
      </c>
      <c r="F44" s="4">
        <v>250.0</v>
      </c>
      <c r="G44" s="4">
        <v>740.0</v>
      </c>
      <c r="H44" s="6">
        <f t="shared" si="1"/>
        <v>14</v>
      </c>
      <c r="I44" s="6">
        <f t="shared" si="2"/>
        <v>4</v>
      </c>
    </row>
    <row r="45">
      <c r="A45" s="4" t="s">
        <v>60</v>
      </c>
      <c r="B45" s="4" t="s">
        <v>16</v>
      </c>
      <c r="C45" s="5">
        <v>45701.0</v>
      </c>
      <c r="D45" s="5">
        <v>45702.0</v>
      </c>
      <c r="E45" s="5">
        <v>45706.0</v>
      </c>
      <c r="F45" s="4">
        <v>175.0</v>
      </c>
      <c r="G45" s="4">
        <v>480.0</v>
      </c>
      <c r="H45" s="6">
        <f t="shared" si="1"/>
        <v>5</v>
      </c>
      <c r="I45" s="6">
        <f t="shared" si="2"/>
        <v>1</v>
      </c>
    </row>
    <row r="46">
      <c r="A46" s="4" t="s">
        <v>61</v>
      </c>
      <c r="B46" s="4" t="s">
        <v>18</v>
      </c>
      <c r="C46" s="5">
        <v>45702.0</v>
      </c>
      <c r="D46" s="5">
        <v>45707.0</v>
      </c>
      <c r="E46" s="5">
        <v>45715.0</v>
      </c>
      <c r="F46" s="4">
        <v>115.0</v>
      </c>
      <c r="G46" s="4">
        <v>660.0</v>
      </c>
      <c r="H46" s="6">
        <f t="shared" si="1"/>
        <v>13</v>
      </c>
      <c r="I46" s="6">
        <f t="shared" si="2"/>
        <v>5</v>
      </c>
    </row>
    <row r="47">
      <c r="A47" s="4" t="s">
        <v>62</v>
      </c>
      <c r="B47" s="4" t="s">
        <v>20</v>
      </c>
      <c r="C47" s="5">
        <v>45703.0</v>
      </c>
      <c r="D47" s="5">
        <v>45705.0</v>
      </c>
      <c r="E47" s="5">
        <v>45710.0</v>
      </c>
      <c r="F47" s="4">
        <v>135.0</v>
      </c>
      <c r="G47" s="4">
        <v>525.0</v>
      </c>
      <c r="H47" s="6">
        <f t="shared" si="1"/>
        <v>7</v>
      </c>
      <c r="I47" s="6">
        <f t="shared" si="2"/>
        <v>2</v>
      </c>
    </row>
    <row r="48">
      <c r="A48" s="4" t="s">
        <v>63</v>
      </c>
      <c r="B48" s="4" t="s">
        <v>22</v>
      </c>
      <c r="C48" s="5">
        <v>45704.0</v>
      </c>
      <c r="D48" s="5">
        <v>45706.0</v>
      </c>
      <c r="E48" s="5">
        <v>45712.0</v>
      </c>
      <c r="F48" s="4">
        <v>155.0</v>
      </c>
      <c r="G48" s="4">
        <v>575.0</v>
      </c>
      <c r="H48" s="6">
        <f t="shared" si="1"/>
        <v>8</v>
      </c>
      <c r="I48" s="6">
        <f t="shared" si="2"/>
        <v>2</v>
      </c>
    </row>
    <row r="49">
      <c r="A49" s="4" t="s">
        <v>64</v>
      </c>
      <c r="B49" s="4" t="s">
        <v>24</v>
      </c>
      <c r="C49" s="5">
        <v>45705.0</v>
      </c>
      <c r="D49" s="5">
        <v>45710.0</v>
      </c>
      <c r="E49" s="5">
        <v>45719.0</v>
      </c>
      <c r="F49" s="4">
        <v>205.0</v>
      </c>
      <c r="G49" s="4">
        <v>780.0</v>
      </c>
      <c r="H49" s="6">
        <f t="shared" si="1"/>
        <v>14</v>
      </c>
      <c r="I49" s="6">
        <f t="shared" si="2"/>
        <v>5</v>
      </c>
    </row>
    <row r="50">
      <c r="A50" s="4" t="s">
        <v>65</v>
      </c>
      <c r="B50" s="4" t="s">
        <v>10</v>
      </c>
      <c r="C50" s="5">
        <v>45706.0</v>
      </c>
      <c r="D50" s="5">
        <v>45708.0</v>
      </c>
      <c r="E50" s="5">
        <v>45712.0</v>
      </c>
      <c r="F50" s="4">
        <v>145.0</v>
      </c>
      <c r="G50" s="4">
        <v>450.0</v>
      </c>
      <c r="H50" s="6">
        <f t="shared" si="1"/>
        <v>6</v>
      </c>
      <c r="I50" s="6">
        <f t="shared" si="2"/>
        <v>2</v>
      </c>
    </row>
    <row r="51">
      <c r="A51" s="4" t="s">
        <v>66</v>
      </c>
      <c r="B51" s="4" t="s">
        <v>12</v>
      </c>
      <c r="C51" s="5">
        <v>45707.0</v>
      </c>
      <c r="D51" s="5">
        <v>45711.0</v>
      </c>
      <c r="E51" s="5">
        <v>45717.0</v>
      </c>
      <c r="F51" s="4">
        <v>105.0</v>
      </c>
      <c r="G51" s="4">
        <v>540.0</v>
      </c>
      <c r="H51" s="6">
        <f t="shared" si="1"/>
        <v>10</v>
      </c>
      <c r="I51" s="6">
        <f t="shared" si="2"/>
        <v>4</v>
      </c>
    </row>
    <row r="52">
      <c r="A52" s="4" t="s">
        <v>67</v>
      </c>
      <c r="B52" s="4" t="s">
        <v>14</v>
      </c>
      <c r="C52" s="5">
        <v>45708.0</v>
      </c>
      <c r="D52" s="5">
        <v>45712.0</v>
      </c>
      <c r="E52" s="5">
        <v>45722.0</v>
      </c>
      <c r="F52" s="4">
        <v>260.0</v>
      </c>
      <c r="G52" s="4">
        <v>750.0</v>
      </c>
      <c r="H52" s="6">
        <f t="shared" si="1"/>
        <v>14</v>
      </c>
      <c r="I52" s="6">
        <f t="shared" si="2"/>
        <v>4</v>
      </c>
    </row>
    <row r="53">
      <c r="A53" s="4" t="s">
        <v>68</v>
      </c>
      <c r="B53" s="4" t="s">
        <v>16</v>
      </c>
      <c r="C53" s="5">
        <v>45709.0</v>
      </c>
      <c r="D53" s="5">
        <v>45710.0</v>
      </c>
      <c r="E53" s="5">
        <v>45714.0</v>
      </c>
      <c r="F53" s="4">
        <v>180.0</v>
      </c>
      <c r="G53" s="4">
        <v>485.0</v>
      </c>
      <c r="H53" s="6">
        <f t="shared" si="1"/>
        <v>5</v>
      </c>
      <c r="I53" s="6">
        <f t="shared" si="2"/>
        <v>1</v>
      </c>
    </row>
    <row r="54">
      <c r="A54" s="4" t="s">
        <v>69</v>
      </c>
      <c r="B54" s="4" t="s">
        <v>18</v>
      </c>
      <c r="C54" s="5">
        <v>45710.0</v>
      </c>
      <c r="D54" s="5">
        <v>45715.0</v>
      </c>
      <c r="E54" s="5">
        <v>45723.0</v>
      </c>
      <c r="F54" s="4">
        <v>120.0</v>
      </c>
      <c r="G54" s="4">
        <v>670.0</v>
      </c>
      <c r="H54" s="6">
        <f t="shared" si="1"/>
        <v>13</v>
      </c>
      <c r="I54" s="6">
        <f t="shared" si="2"/>
        <v>5</v>
      </c>
    </row>
    <row r="55">
      <c r="A55" s="4" t="s">
        <v>70</v>
      </c>
      <c r="B55" s="4" t="s">
        <v>20</v>
      </c>
      <c r="C55" s="5">
        <v>45711.0</v>
      </c>
      <c r="D55" s="5">
        <v>45713.0</v>
      </c>
      <c r="E55" s="5">
        <v>45718.0</v>
      </c>
      <c r="F55" s="4">
        <v>140.0</v>
      </c>
      <c r="G55" s="4">
        <v>530.0</v>
      </c>
      <c r="H55" s="6">
        <f t="shared" si="1"/>
        <v>7</v>
      </c>
      <c r="I55" s="6">
        <f t="shared" si="2"/>
        <v>2</v>
      </c>
    </row>
    <row r="56">
      <c r="A56" s="4" t="s">
        <v>71</v>
      </c>
      <c r="B56" s="4" t="s">
        <v>22</v>
      </c>
      <c r="C56" s="5">
        <v>45712.0</v>
      </c>
      <c r="D56" s="5">
        <v>45714.0</v>
      </c>
      <c r="E56" s="5">
        <v>45720.0</v>
      </c>
      <c r="F56" s="4">
        <v>160.0</v>
      </c>
      <c r="G56" s="4">
        <v>580.0</v>
      </c>
      <c r="H56" s="6">
        <f t="shared" si="1"/>
        <v>8</v>
      </c>
      <c r="I56" s="6">
        <f t="shared" si="2"/>
        <v>2</v>
      </c>
    </row>
    <row r="57">
      <c r="A57" s="4" t="s">
        <v>72</v>
      </c>
      <c r="B57" s="4" t="s">
        <v>24</v>
      </c>
      <c r="C57" s="5">
        <v>45713.0</v>
      </c>
      <c r="D57" s="5">
        <v>45718.0</v>
      </c>
      <c r="E57" s="5">
        <v>45727.0</v>
      </c>
      <c r="F57" s="4">
        <v>210.0</v>
      </c>
      <c r="G57" s="4">
        <v>790.0</v>
      </c>
      <c r="H57" s="6">
        <f t="shared" si="1"/>
        <v>14</v>
      </c>
      <c r="I57" s="6">
        <f t="shared" si="2"/>
        <v>5</v>
      </c>
    </row>
    <row r="58">
      <c r="A58" s="4" t="s">
        <v>73</v>
      </c>
      <c r="B58" s="4" t="s">
        <v>10</v>
      </c>
      <c r="C58" s="5">
        <v>45714.0</v>
      </c>
      <c r="D58" s="5">
        <v>45716.0</v>
      </c>
      <c r="E58" s="5">
        <v>45720.0</v>
      </c>
      <c r="F58" s="4">
        <v>150.0</v>
      </c>
      <c r="G58" s="4">
        <v>455.0</v>
      </c>
      <c r="H58" s="6">
        <f t="shared" si="1"/>
        <v>6</v>
      </c>
      <c r="I58" s="6">
        <f t="shared" si="2"/>
        <v>2</v>
      </c>
    </row>
    <row r="59">
      <c r="A59" s="4" t="s">
        <v>74</v>
      </c>
      <c r="B59" s="4" t="s">
        <v>12</v>
      </c>
      <c r="C59" s="5">
        <v>45715.0</v>
      </c>
      <c r="D59" s="5">
        <v>45719.0</v>
      </c>
      <c r="E59" s="5">
        <v>45725.0</v>
      </c>
      <c r="F59" s="4">
        <v>110.0</v>
      </c>
      <c r="G59" s="4">
        <v>545.0</v>
      </c>
      <c r="H59" s="6">
        <f t="shared" si="1"/>
        <v>10</v>
      </c>
      <c r="I59" s="6">
        <f t="shared" si="2"/>
        <v>4</v>
      </c>
    </row>
    <row r="60">
      <c r="A60" s="4" t="s">
        <v>75</v>
      </c>
      <c r="B60" s="4" t="s">
        <v>14</v>
      </c>
      <c r="C60" s="5">
        <v>45716.0</v>
      </c>
      <c r="D60" s="5">
        <v>45720.0</v>
      </c>
      <c r="E60" s="5">
        <v>45730.0</v>
      </c>
      <c r="F60" s="4">
        <v>270.0</v>
      </c>
      <c r="G60" s="4">
        <v>760.0</v>
      </c>
      <c r="H60" s="6">
        <f t="shared" si="1"/>
        <v>14</v>
      </c>
      <c r="I60" s="6">
        <f t="shared" si="2"/>
        <v>4</v>
      </c>
    </row>
    <row r="61">
      <c r="A61" s="4" t="s">
        <v>76</v>
      </c>
      <c r="B61" s="4" t="s">
        <v>16</v>
      </c>
      <c r="C61" s="5">
        <v>45717.0</v>
      </c>
      <c r="D61" s="5">
        <v>45718.0</v>
      </c>
      <c r="E61" s="5">
        <v>45722.0</v>
      </c>
      <c r="F61" s="4">
        <v>185.0</v>
      </c>
      <c r="G61" s="4">
        <v>490.0</v>
      </c>
      <c r="H61" s="6">
        <f t="shared" si="1"/>
        <v>5</v>
      </c>
      <c r="I61" s="6">
        <f t="shared" si="2"/>
        <v>1</v>
      </c>
    </row>
    <row r="62">
      <c r="A62" s="4" t="s">
        <v>77</v>
      </c>
      <c r="B62" s="4" t="s">
        <v>18</v>
      </c>
      <c r="C62" s="5">
        <v>45718.0</v>
      </c>
      <c r="D62" s="5">
        <v>45723.0</v>
      </c>
      <c r="E62" s="5">
        <v>45731.0</v>
      </c>
      <c r="F62" s="4">
        <v>125.0</v>
      </c>
      <c r="G62" s="4">
        <v>680.0</v>
      </c>
      <c r="H62" s="6">
        <f t="shared" si="1"/>
        <v>13</v>
      </c>
      <c r="I62" s="6">
        <f t="shared" si="2"/>
        <v>5</v>
      </c>
    </row>
    <row r="63">
      <c r="A63" s="4" t="s">
        <v>78</v>
      </c>
      <c r="B63" s="4" t="s">
        <v>20</v>
      </c>
      <c r="C63" s="5">
        <v>45719.0</v>
      </c>
      <c r="D63" s="5">
        <v>45721.0</v>
      </c>
      <c r="E63" s="5">
        <v>45726.0</v>
      </c>
      <c r="F63" s="4">
        <v>145.0</v>
      </c>
      <c r="G63" s="4">
        <v>535.0</v>
      </c>
      <c r="H63" s="6">
        <f t="shared" si="1"/>
        <v>7</v>
      </c>
      <c r="I63" s="6">
        <f t="shared" si="2"/>
        <v>2</v>
      </c>
    </row>
    <row r="64">
      <c r="A64" s="4" t="s">
        <v>79</v>
      </c>
      <c r="B64" s="4" t="s">
        <v>22</v>
      </c>
      <c r="C64" s="5">
        <v>45720.0</v>
      </c>
      <c r="D64" s="5">
        <v>45722.0</v>
      </c>
      <c r="E64" s="5">
        <v>45728.0</v>
      </c>
      <c r="F64" s="4">
        <v>165.0</v>
      </c>
      <c r="G64" s="4">
        <v>585.0</v>
      </c>
      <c r="H64" s="6">
        <f t="shared" si="1"/>
        <v>8</v>
      </c>
      <c r="I64" s="6">
        <f t="shared" si="2"/>
        <v>2</v>
      </c>
    </row>
    <row r="65">
      <c r="A65" s="4" t="s">
        <v>80</v>
      </c>
      <c r="B65" s="4" t="s">
        <v>24</v>
      </c>
      <c r="C65" s="5">
        <v>45721.0</v>
      </c>
      <c r="D65" s="5">
        <v>45726.0</v>
      </c>
      <c r="E65" s="5">
        <v>45735.0</v>
      </c>
      <c r="F65" s="4">
        <v>215.0</v>
      </c>
      <c r="G65" s="4">
        <v>800.0</v>
      </c>
      <c r="H65" s="6">
        <f t="shared" si="1"/>
        <v>14</v>
      </c>
      <c r="I65" s="6">
        <f t="shared" si="2"/>
        <v>5</v>
      </c>
    </row>
    <row r="66">
      <c r="A66" s="4" t="s">
        <v>81</v>
      </c>
      <c r="B66" s="4" t="s">
        <v>10</v>
      </c>
      <c r="C66" s="5">
        <v>45722.0</v>
      </c>
      <c r="D66" s="5">
        <v>45724.0</v>
      </c>
      <c r="E66" s="5">
        <v>45728.0</v>
      </c>
      <c r="F66" s="4">
        <v>155.0</v>
      </c>
      <c r="G66" s="4">
        <v>460.0</v>
      </c>
      <c r="H66" s="6">
        <f t="shared" si="1"/>
        <v>6</v>
      </c>
      <c r="I66" s="6">
        <f t="shared" si="2"/>
        <v>2</v>
      </c>
    </row>
    <row r="67">
      <c r="A67" s="4" t="s">
        <v>82</v>
      </c>
      <c r="B67" s="4" t="s">
        <v>12</v>
      </c>
      <c r="C67" s="5">
        <v>45723.0</v>
      </c>
      <c r="D67" s="5">
        <v>45727.0</v>
      </c>
      <c r="E67" s="5">
        <v>45733.0</v>
      </c>
      <c r="F67" s="4">
        <v>115.0</v>
      </c>
      <c r="G67" s="4">
        <v>550.0</v>
      </c>
      <c r="H67" s="6">
        <f t="shared" si="1"/>
        <v>10</v>
      </c>
      <c r="I67" s="6">
        <f t="shared" si="2"/>
        <v>4</v>
      </c>
    </row>
    <row r="68">
      <c r="A68" s="4" t="s">
        <v>83</v>
      </c>
      <c r="B68" s="4" t="s">
        <v>14</v>
      </c>
      <c r="C68" s="5">
        <v>45724.0</v>
      </c>
      <c r="D68" s="5">
        <v>45728.0</v>
      </c>
      <c r="E68" s="5">
        <v>45738.0</v>
      </c>
      <c r="F68" s="4">
        <v>280.0</v>
      </c>
      <c r="G68" s="4">
        <v>770.0</v>
      </c>
      <c r="H68" s="6">
        <f t="shared" si="1"/>
        <v>14</v>
      </c>
      <c r="I68" s="6">
        <f t="shared" si="2"/>
        <v>4</v>
      </c>
    </row>
    <row r="69">
      <c r="A69" s="4" t="s">
        <v>84</v>
      </c>
      <c r="B69" s="4" t="s">
        <v>16</v>
      </c>
      <c r="C69" s="5">
        <v>45725.0</v>
      </c>
      <c r="D69" s="5">
        <v>45726.0</v>
      </c>
      <c r="E69" s="5">
        <v>45730.0</v>
      </c>
      <c r="F69" s="4">
        <v>190.0</v>
      </c>
      <c r="G69" s="4">
        <v>495.0</v>
      </c>
      <c r="H69" s="6">
        <f t="shared" si="1"/>
        <v>5</v>
      </c>
      <c r="I69" s="6">
        <f t="shared" si="2"/>
        <v>1</v>
      </c>
    </row>
    <row r="70">
      <c r="A70" s="4" t="s">
        <v>85</v>
      </c>
      <c r="B70" s="4" t="s">
        <v>18</v>
      </c>
      <c r="C70" s="5">
        <v>45726.0</v>
      </c>
      <c r="D70" s="5">
        <v>45731.0</v>
      </c>
      <c r="E70" s="5">
        <v>45739.0</v>
      </c>
      <c r="F70" s="4">
        <v>130.0</v>
      </c>
      <c r="G70" s="4">
        <v>690.0</v>
      </c>
      <c r="H70" s="6">
        <f t="shared" si="1"/>
        <v>13</v>
      </c>
      <c r="I70" s="6">
        <f t="shared" si="2"/>
        <v>5</v>
      </c>
    </row>
    <row r="71">
      <c r="A71" s="4" t="s">
        <v>86</v>
      </c>
      <c r="B71" s="4" t="s">
        <v>20</v>
      </c>
      <c r="C71" s="5">
        <v>45727.0</v>
      </c>
      <c r="D71" s="5">
        <v>45729.0</v>
      </c>
      <c r="E71" s="5">
        <v>45734.0</v>
      </c>
      <c r="F71" s="4">
        <v>150.0</v>
      </c>
      <c r="G71" s="4">
        <v>540.0</v>
      </c>
      <c r="H71" s="6">
        <f t="shared" si="1"/>
        <v>7</v>
      </c>
      <c r="I71" s="6">
        <f t="shared" si="2"/>
        <v>2</v>
      </c>
    </row>
    <row r="72">
      <c r="A72" s="4" t="s">
        <v>87</v>
      </c>
      <c r="B72" s="4" t="s">
        <v>22</v>
      </c>
      <c r="C72" s="5">
        <v>45728.0</v>
      </c>
      <c r="D72" s="5">
        <v>45730.0</v>
      </c>
      <c r="E72" s="5">
        <v>45736.0</v>
      </c>
      <c r="F72" s="4">
        <v>170.0</v>
      </c>
      <c r="G72" s="4">
        <v>590.0</v>
      </c>
      <c r="H72" s="6">
        <f t="shared" si="1"/>
        <v>8</v>
      </c>
      <c r="I72" s="6">
        <f t="shared" si="2"/>
        <v>2</v>
      </c>
    </row>
    <row r="73">
      <c r="A73" s="4" t="s">
        <v>88</v>
      </c>
      <c r="B73" s="4" t="s">
        <v>24</v>
      </c>
      <c r="C73" s="5">
        <v>45729.0</v>
      </c>
      <c r="D73" s="5">
        <v>45734.0</v>
      </c>
      <c r="E73" s="5">
        <v>45743.0</v>
      </c>
      <c r="F73" s="4">
        <v>220.0</v>
      </c>
      <c r="G73" s="4">
        <v>810.0</v>
      </c>
      <c r="H73" s="6">
        <f t="shared" si="1"/>
        <v>14</v>
      </c>
      <c r="I73" s="6">
        <f t="shared" si="2"/>
        <v>5</v>
      </c>
    </row>
    <row r="74">
      <c r="A74" s="4" t="s">
        <v>89</v>
      </c>
      <c r="B74" s="4" t="s">
        <v>10</v>
      </c>
      <c r="C74" s="5">
        <v>45730.0</v>
      </c>
      <c r="D74" s="5">
        <v>45732.0</v>
      </c>
      <c r="E74" s="5">
        <v>45736.0</v>
      </c>
      <c r="F74" s="4">
        <v>160.0</v>
      </c>
      <c r="G74" s="4">
        <v>465.0</v>
      </c>
      <c r="H74" s="6">
        <f t="shared" si="1"/>
        <v>6</v>
      </c>
      <c r="I74" s="6">
        <f t="shared" si="2"/>
        <v>2</v>
      </c>
    </row>
    <row r="75">
      <c r="A75" s="4" t="s">
        <v>90</v>
      </c>
      <c r="B75" s="4" t="s">
        <v>12</v>
      </c>
      <c r="C75" s="5">
        <v>45731.0</v>
      </c>
      <c r="D75" s="5">
        <v>45735.0</v>
      </c>
      <c r="E75" s="5">
        <v>45741.0</v>
      </c>
      <c r="F75" s="4">
        <v>120.0</v>
      </c>
      <c r="G75" s="4">
        <v>555.0</v>
      </c>
      <c r="H75" s="6">
        <f t="shared" si="1"/>
        <v>10</v>
      </c>
      <c r="I75" s="6">
        <f t="shared" si="2"/>
        <v>4</v>
      </c>
    </row>
    <row r="76">
      <c r="A76" s="4" t="s">
        <v>91</v>
      </c>
      <c r="B76" s="4" t="s">
        <v>14</v>
      </c>
      <c r="C76" s="5">
        <v>45732.0</v>
      </c>
      <c r="D76" s="5">
        <v>45736.0</v>
      </c>
      <c r="E76" s="5">
        <v>45746.0</v>
      </c>
      <c r="F76" s="4">
        <v>290.0</v>
      </c>
      <c r="G76" s="4">
        <v>780.0</v>
      </c>
      <c r="H76" s="6">
        <f t="shared" si="1"/>
        <v>14</v>
      </c>
      <c r="I76" s="6">
        <f t="shared" si="2"/>
        <v>4</v>
      </c>
    </row>
    <row r="77">
      <c r="A77" s="4" t="s">
        <v>92</v>
      </c>
      <c r="B77" s="4" t="s">
        <v>16</v>
      </c>
      <c r="C77" s="5">
        <v>45733.0</v>
      </c>
      <c r="D77" s="5">
        <v>45734.0</v>
      </c>
      <c r="E77" s="5">
        <v>45738.0</v>
      </c>
      <c r="F77" s="4">
        <v>195.0</v>
      </c>
      <c r="G77" s="4">
        <v>500.0</v>
      </c>
      <c r="H77" s="6">
        <f t="shared" si="1"/>
        <v>5</v>
      </c>
      <c r="I77" s="6">
        <f t="shared" si="2"/>
        <v>1</v>
      </c>
    </row>
    <row r="78">
      <c r="A78" s="4" t="s">
        <v>93</v>
      </c>
      <c r="B78" s="4" t="s">
        <v>18</v>
      </c>
      <c r="C78" s="5">
        <v>45734.0</v>
      </c>
      <c r="D78" s="5">
        <v>45739.0</v>
      </c>
      <c r="E78" s="5">
        <v>45747.0</v>
      </c>
      <c r="F78" s="4">
        <v>135.0</v>
      </c>
      <c r="G78" s="4">
        <v>700.0</v>
      </c>
      <c r="H78" s="6">
        <f t="shared" si="1"/>
        <v>13</v>
      </c>
      <c r="I78" s="6">
        <f t="shared" si="2"/>
        <v>5</v>
      </c>
    </row>
    <row r="79">
      <c r="A79" s="4" t="s">
        <v>94</v>
      </c>
      <c r="B79" s="4" t="s">
        <v>20</v>
      </c>
      <c r="C79" s="5">
        <v>45735.0</v>
      </c>
      <c r="D79" s="5">
        <v>45737.0</v>
      </c>
      <c r="E79" s="5">
        <v>45742.0</v>
      </c>
      <c r="F79" s="4">
        <v>155.0</v>
      </c>
      <c r="G79" s="4">
        <v>545.0</v>
      </c>
      <c r="H79" s="6">
        <f t="shared" si="1"/>
        <v>7</v>
      </c>
      <c r="I79" s="6">
        <f t="shared" si="2"/>
        <v>2</v>
      </c>
    </row>
    <row r="80">
      <c r="A80" s="4" t="s">
        <v>95</v>
      </c>
      <c r="B80" s="4" t="s">
        <v>22</v>
      </c>
      <c r="C80" s="5">
        <v>45736.0</v>
      </c>
      <c r="D80" s="5">
        <v>45738.0</v>
      </c>
      <c r="E80" s="5">
        <v>45744.0</v>
      </c>
      <c r="F80" s="4">
        <v>175.0</v>
      </c>
      <c r="G80" s="4">
        <v>595.0</v>
      </c>
      <c r="H80" s="6">
        <f t="shared" si="1"/>
        <v>8</v>
      </c>
      <c r="I80" s="6">
        <f t="shared" si="2"/>
        <v>2</v>
      </c>
    </row>
    <row r="81">
      <c r="A81" s="4" t="s">
        <v>96</v>
      </c>
      <c r="B81" s="4" t="s">
        <v>24</v>
      </c>
      <c r="C81" s="5">
        <v>45737.0</v>
      </c>
      <c r="D81" s="5">
        <v>45742.0</v>
      </c>
      <c r="E81" s="5">
        <v>45751.0</v>
      </c>
      <c r="F81" s="4">
        <v>225.0</v>
      </c>
      <c r="G81" s="4">
        <v>820.0</v>
      </c>
      <c r="H81" s="6">
        <f t="shared" si="1"/>
        <v>14</v>
      </c>
      <c r="I81" s="6">
        <f t="shared" si="2"/>
        <v>5</v>
      </c>
    </row>
    <row r="82">
      <c r="A82" s="4" t="s">
        <v>97</v>
      </c>
      <c r="B82" s="4" t="s">
        <v>10</v>
      </c>
      <c r="C82" s="5">
        <v>45738.0</v>
      </c>
      <c r="D82" s="5">
        <v>45740.0</v>
      </c>
      <c r="E82" s="5">
        <v>45744.0</v>
      </c>
      <c r="F82" s="4">
        <v>165.0</v>
      </c>
      <c r="G82" s="4">
        <v>470.0</v>
      </c>
      <c r="H82" s="6">
        <f t="shared" si="1"/>
        <v>6</v>
      </c>
      <c r="I82" s="6">
        <f t="shared" si="2"/>
        <v>2</v>
      </c>
    </row>
    <row r="83">
      <c r="A83" s="4" t="s">
        <v>98</v>
      </c>
      <c r="B83" s="4" t="s">
        <v>12</v>
      </c>
      <c r="C83" s="5">
        <v>45739.0</v>
      </c>
      <c r="D83" s="5">
        <v>45743.0</v>
      </c>
      <c r="E83" s="5">
        <v>45749.0</v>
      </c>
      <c r="F83" s="4">
        <v>125.0</v>
      </c>
      <c r="G83" s="4">
        <v>560.0</v>
      </c>
      <c r="H83" s="6">
        <f t="shared" si="1"/>
        <v>10</v>
      </c>
      <c r="I83" s="6">
        <f t="shared" si="2"/>
        <v>4</v>
      </c>
    </row>
    <row r="84">
      <c r="A84" s="4" t="s">
        <v>99</v>
      </c>
      <c r="B84" s="4" t="s">
        <v>14</v>
      </c>
      <c r="C84" s="5">
        <v>45740.0</v>
      </c>
      <c r="D84" s="5">
        <v>45744.0</v>
      </c>
      <c r="E84" s="5">
        <v>45754.0</v>
      </c>
      <c r="F84" s="4">
        <v>300.0</v>
      </c>
      <c r="G84" s="4">
        <v>790.0</v>
      </c>
      <c r="H84" s="6">
        <f t="shared" si="1"/>
        <v>14</v>
      </c>
      <c r="I84" s="6">
        <f t="shared" si="2"/>
        <v>4</v>
      </c>
    </row>
    <row r="85">
      <c r="A85" s="4" t="s">
        <v>100</v>
      </c>
      <c r="B85" s="4" t="s">
        <v>16</v>
      </c>
      <c r="C85" s="5">
        <v>45741.0</v>
      </c>
      <c r="D85" s="5">
        <v>45742.0</v>
      </c>
      <c r="E85" s="5">
        <v>45746.0</v>
      </c>
      <c r="F85" s="4">
        <v>200.0</v>
      </c>
      <c r="G85" s="4">
        <v>505.0</v>
      </c>
      <c r="H85" s="6">
        <f t="shared" si="1"/>
        <v>5</v>
      </c>
      <c r="I85" s="6">
        <f t="shared" si="2"/>
        <v>1</v>
      </c>
    </row>
    <row r="86">
      <c r="A86" s="4" t="s">
        <v>101</v>
      </c>
      <c r="B86" s="4" t="s">
        <v>18</v>
      </c>
      <c r="C86" s="5">
        <v>45742.0</v>
      </c>
      <c r="D86" s="5">
        <v>45747.0</v>
      </c>
      <c r="E86" s="5">
        <v>45755.0</v>
      </c>
      <c r="F86" s="4">
        <v>140.0</v>
      </c>
      <c r="G86" s="4">
        <v>710.0</v>
      </c>
      <c r="H86" s="6">
        <f t="shared" si="1"/>
        <v>13</v>
      </c>
      <c r="I86" s="6">
        <f t="shared" si="2"/>
        <v>5</v>
      </c>
    </row>
    <row r="87">
      <c r="A87" s="4" t="s">
        <v>102</v>
      </c>
      <c r="B87" s="4" t="s">
        <v>20</v>
      </c>
      <c r="C87" s="5">
        <v>45743.0</v>
      </c>
      <c r="D87" s="5">
        <v>45745.0</v>
      </c>
      <c r="E87" s="5">
        <v>45750.0</v>
      </c>
      <c r="F87" s="4">
        <v>160.0</v>
      </c>
      <c r="G87" s="4">
        <v>550.0</v>
      </c>
      <c r="H87" s="6">
        <f t="shared" si="1"/>
        <v>7</v>
      </c>
      <c r="I87" s="6">
        <f t="shared" si="2"/>
        <v>2</v>
      </c>
    </row>
    <row r="88">
      <c r="A88" s="4" t="s">
        <v>103</v>
      </c>
      <c r="B88" s="4" t="s">
        <v>22</v>
      </c>
      <c r="C88" s="5">
        <v>45744.0</v>
      </c>
      <c r="D88" s="5">
        <v>45746.0</v>
      </c>
      <c r="E88" s="5">
        <v>45752.0</v>
      </c>
      <c r="F88" s="4">
        <v>180.0</v>
      </c>
      <c r="G88" s="4">
        <v>600.0</v>
      </c>
      <c r="H88" s="6">
        <f t="shared" si="1"/>
        <v>8</v>
      </c>
      <c r="I88" s="6">
        <f t="shared" si="2"/>
        <v>2</v>
      </c>
    </row>
    <row r="89">
      <c r="A89" s="4" t="s">
        <v>104</v>
      </c>
      <c r="B89" s="4" t="s">
        <v>24</v>
      </c>
      <c r="C89" s="5">
        <v>45745.0</v>
      </c>
      <c r="D89" s="5">
        <v>45750.0</v>
      </c>
      <c r="E89" s="5">
        <v>45759.0</v>
      </c>
      <c r="F89" s="4">
        <v>230.0</v>
      </c>
      <c r="G89" s="4">
        <v>830.0</v>
      </c>
      <c r="H89" s="6">
        <f t="shared" si="1"/>
        <v>14</v>
      </c>
      <c r="I89" s="6">
        <f t="shared" si="2"/>
        <v>5</v>
      </c>
    </row>
    <row r="90">
      <c r="A90" s="4" t="s">
        <v>105</v>
      </c>
      <c r="B90" s="4" t="s">
        <v>10</v>
      </c>
      <c r="C90" s="5">
        <v>45746.0</v>
      </c>
      <c r="D90" s="5">
        <v>45748.0</v>
      </c>
      <c r="E90" s="5">
        <v>45752.0</v>
      </c>
      <c r="F90" s="4">
        <v>170.0</v>
      </c>
      <c r="G90" s="4">
        <v>475.0</v>
      </c>
      <c r="H90" s="6">
        <f t="shared" si="1"/>
        <v>6</v>
      </c>
      <c r="I90" s="6">
        <f t="shared" si="2"/>
        <v>2</v>
      </c>
    </row>
    <row r="91">
      <c r="A91" s="4" t="s">
        <v>106</v>
      </c>
      <c r="B91" s="4" t="s">
        <v>12</v>
      </c>
      <c r="C91" s="5">
        <v>45747.0</v>
      </c>
      <c r="D91" s="5">
        <v>45751.0</v>
      </c>
      <c r="E91" s="5">
        <v>45757.0</v>
      </c>
      <c r="F91" s="4">
        <v>130.0</v>
      </c>
      <c r="G91" s="4">
        <v>565.0</v>
      </c>
      <c r="H91" s="6">
        <f t="shared" si="1"/>
        <v>10</v>
      </c>
      <c r="I91" s="6">
        <f t="shared" si="2"/>
        <v>4</v>
      </c>
    </row>
    <row r="92">
      <c r="A92" s="4" t="s">
        <v>107</v>
      </c>
      <c r="B92" s="4" t="s">
        <v>14</v>
      </c>
      <c r="C92" s="5">
        <v>45748.0</v>
      </c>
      <c r="D92" s="5">
        <v>45752.0</v>
      </c>
      <c r="E92" s="5">
        <v>45762.0</v>
      </c>
      <c r="F92" s="4">
        <v>310.0</v>
      </c>
      <c r="G92" s="4">
        <v>800.0</v>
      </c>
      <c r="H92" s="6">
        <f t="shared" si="1"/>
        <v>14</v>
      </c>
      <c r="I92" s="6">
        <f t="shared" si="2"/>
        <v>4</v>
      </c>
    </row>
    <row r="93">
      <c r="A93" s="4" t="s">
        <v>108</v>
      </c>
      <c r="B93" s="4" t="s">
        <v>16</v>
      </c>
      <c r="C93" s="5">
        <v>45749.0</v>
      </c>
      <c r="D93" s="5">
        <v>45750.0</v>
      </c>
      <c r="E93" s="5">
        <v>45754.0</v>
      </c>
      <c r="F93" s="4">
        <v>205.0</v>
      </c>
      <c r="G93" s="4">
        <v>510.0</v>
      </c>
      <c r="H93" s="6">
        <f t="shared" si="1"/>
        <v>5</v>
      </c>
      <c r="I93" s="6">
        <f t="shared" si="2"/>
        <v>1</v>
      </c>
    </row>
    <row r="94">
      <c r="A94" s="4" t="s">
        <v>109</v>
      </c>
      <c r="B94" s="4" t="s">
        <v>18</v>
      </c>
      <c r="C94" s="5">
        <v>45750.0</v>
      </c>
      <c r="D94" s="5">
        <v>45755.0</v>
      </c>
      <c r="E94" s="5">
        <v>45763.0</v>
      </c>
      <c r="F94" s="4">
        <v>145.0</v>
      </c>
      <c r="G94" s="4">
        <v>720.0</v>
      </c>
      <c r="H94" s="6">
        <f t="shared" si="1"/>
        <v>13</v>
      </c>
      <c r="I94" s="6">
        <f t="shared" si="2"/>
        <v>5</v>
      </c>
    </row>
    <row r="95">
      <c r="A95" s="4" t="s">
        <v>110</v>
      </c>
      <c r="B95" s="4" t="s">
        <v>20</v>
      </c>
      <c r="C95" s="5">
        <v>45751.0</v>
      </c>
      <c r="D95" s="5">
        <v>45753.0</v>
      </c>
      <c r="E95" s="5">
        <v>45758.0</v>
      </c>
      <c r="F95" s="4">
        <v>165.0</v>
      </c>
      <c r="G95" s="4">
        <v>555.0</v>
      </c>
      <c r="H95" s="6">
        <f t="shared" si="1"/>
        <v>7</v>
      </c>
      <c r="I95" s="6">
        <f t="shared" si="2"/>
        <v>2</v>
      </c>
    </row>
    <row r="96">
      <c r="A96" s="4" t="s">
        <v>111</v>
      </c>
      <c r="B96" s="4" t="s">
        <v>22</v>
      </c>
      <c r="C96" s="5">
        <v>45752.0</v>
      </c>
      <c r="D96" s="5">
        <v>45754.0</v>
      </c>
      <c r="E96" s="5">
        <v>45760.0</v>
      </c>
      <c r="F96" s="4">
        <v>185.0</v>
      </c>
      <c r="G96" s="4">
        <v>605.0</v>
      </c>
      <c r="H96" s="6">
        <f t="shared" si="1"/>
        <v>8</v>
      </c>
      <c r="I96" s="6">
        <f t="shared" si="2"/>
        <v>2</v>
      </c>
    </row>
    <row r="97">
      <c r="A97" s="4" t="s">
        <v>112</v>
      </c>
      <c r="B97" s="4" t="s">
        <v>24</v>
      </c>
      <c r="C97" s="5">
        <v>45753.0</v>
      </c>
      <c r="D97" s="5">
        <v>45758.0</v>
      </c>
      <c r="E97" s="5">
        <v>45767.0</v>
      </c>
      <c r="F97" s="4">
        <v>235.0</v>
      </c>
      <c r="G97" s="4">
        <v>840.0</v>
      </c>
      <c r="H97" s="6">
        <f t="shared" si="1"/>
        <v>14</v>
      </c>
      <c r="I97" s="6">
        <f t="shared" si="2"/>
        <v>5</v>
      </c>
    </row>
    <row r="98">
      <c r="A98" s="4" t="s">
        <v>113</v>
      </c>
      <c r="B98" s="4" t="s">
        <v>10</v>
      </c>
      <c r="C98" s="5">
        <v>45754.0</v>
      </c>
      <c r="D98" s="5">
        <v>45756.0</v>
      </c>
      <c r="E98" s="5">
        <v>45760.0</v>
      </c>
      <c r="F98" s="4">
        <v>175.0</v>
      </c>
      <c r="G98" s="4">
        <v>480.0</v>
      </c>
      <c r="H98" s="6">
        <f t="shared" si="1"/>
        <v>6</v>
      </c>
      <c r="I98" s="6">
        <f t="shared" si="2"/>
        <v>2</v>
      </c>
    </row>
    <row r="99">
      <c r="A99" s="4" t="s">
        <v>114</v>
      </c>
      <c r="B99" s="4" t="s">
        <v>12</v>
      </c>
      <c r="C99" s="5">
        <v>45755.0</v>
      </c>
      <c r="D99" s="5">
        <v>45759.0</v>
      </c>
      <c r="E99" s="5">
        <v>45765.0</v>
      </c>
      <c r="F99" s="4">
        <v>135.0</v>
      </c>
      <c r="G99" s="4">
        <v>570.0</v>
      </c>
      <c r="H99" s="6">
        <f t="shared" si="1"/>
        <v>10</v>
      </c>
      <c r="I99" s="6">
        <f t="shared" si="2"/>
        <v>4</v>
      </c>
    </row>
    <row r="100">
      <c r="A100" s="4" t="s">
        <v>115</v>
      </c>
      <c r="B100" s="4" t="s">
        <v>14</v>
      </c>
      <c r="C100" s="5">
        <v>45756.0</v>
      </c>
      <c r="D100" s="5">
        <v>45760.0</v>
      </c>
      <c r="E100" s="5">
        <v>45770.0</v>
      </c>
      <c r="F100" s="4">
        <v>320.0</v>
      </c>
      <c r="G100" s="4">
        <v>810.0</v>
      </c>
      <c r="H100" s="6">
        <f t="shared" si="1"/>
        <v>14</v>
      </c>
      <c r="I100" s="6">
        <f t="shared" si="2"/>
        <v>4</v>
      </c>
    </row>
    <row r="101">
      <c r="A101" s="4" t="s">
        <v>116</v>
      </c>
      <c r="B101" s="4" t="s">
        <v>16</v>
      </c>
      <c r="C101" s="5">
        <v>45757.0</v>
      </c>
      <c r="D101" s="5">
        <v>45758.0</v>
      </c>
      <c r="E101" s="5">
        <v>45762.0</v>
      </c>
      <c r="F101" s="4">
        <v>210.0</v>
      </c>
      <c r="G101" s="4">
        <v>515.0</v>
      </c>
      <c r="H101" s="6">
        <f t="shared" si="1"/>
        <v>5</v>
      </c>
      <c r="I101" s="6">
        <f t="shared" si="2"/>
        <v>1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4" width="11.38"/>
    <col customWidth="1" min="5" max="6" width="12.75"/>
    <col customWidth="1" min="7" max="7" width="11.0"/>
    <col customWidth="1" min="8" max="8" width="8.25"/>
  </cols>
  <sheetData>
    <row r="1">
      <c r="A1" s="7" t="s">
        <v>1</v>
      </c>
      <c r="B1" s="7" t="s">
        <v>117</v>
      </c>
      <c r="C1" s="7" t="s">
        <v>118</v>
      </c>
      <c r="D1" s="7" t="s">
        <v>119</v>
      </c>
      <c r="E1" s="7" t="s">
        <v>120</v>
      </c>
      <c r="F1" s="7" t="s">
        <v>121</v>
      </c>
      <c r="G1" s="7" t="s">
        <v>122</v>
      </c>
      <c r="H1" s="7" t="s">
        <v>123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6" t="str">
        <f t="array" ref="A2:A10">UNIQUE('Inbound - Compras'!B2:B993)</f>
        <v>AlphaSup</v>
      </c>
      <c r="B2" s="9">
        <f>IF(A2="","",AVERAGEIF('Inbound - Compras'!B:B,A2,'Inbound - Compras'!H:H))</f>
        <v>5.923076923</v>
      </c>
      <c r="C2" s="9">
        <f>IFERROR(__xludf.DUMMYFUNCTION("IF(A2="""","""",STDEVP(FILTER('Inbound - Compras'!H:H,'Inbound - Compras'!B:B=A2)))
"),0.26646935501059654)</f>
        <v>0.266469355</v>
      </c>
      <c r="D2" s="9">
        <f>IFERROR(__xludf.DUMMYFUNCTION("IF(
  A2="""",
  """",
  AVERAGE(
    FILTER(
      'Inbound - Compras'!G:G / 'Inbound - Compras'!F:F,
      'Inbound - Compras'!B:B = A2
    )
  )
)
"),3.088588176037938)</f>
        <v>3.088588176</v>
      </c>
      <c r="E2" s="9">
        <f t="shared" ref="E2:E9" si="1">IF(A2="","",(B2-MIN($B$2:$B993))/(MAX($B$2:$B993)-MIN($B$2:$B993)))</f>
        <v>0.1035226456</v>
      </c>
      <c r="F2" s="9">
        <f t="shared" ref="F2:F9" si="2">IF(A2="","",(D2-MIN($D$2:$D993))/(MAX($D$2:$D993)-MIN($D$2:$D993)))</f>
        <v>0.1217991301</v>
      </c>
      <c r="G2" s="9">
        <f>E2*Parameters!$B$2 + F2*Parameters!$B$3</f>
        <v>0.3471209057</v>
      </c>
      <c r="H2" s="6">
        <f t="shared" ref="H2:H9" si="3">IF(A2="","",RANK(G2,$G$2:$G993,TRUE))</f>
        <v>2</v>
      </c>
    </row>
    <row r="3">
      <c r="A3" s="6" t="s">
        <v>12</v>
      </c>
      <c r="B3" s="9">
        <f>IF(A3="","",AVERAGEIF('Inbound - Compras'!B:B,A3,'Inbound - Compras'!H:H))</f>
        <v>10</v>
      </c>
      <c r="C3" s="9">
        <f>IFERROR(__xludf.DUMMYFUNCTION("IF(A3="""","""",STDEVP(FILTER('Inbound - Compras'!H:H,'Inbound - Compras'!B:B=A3)))
"),0.0)</f>
        <v>0</v>
      </c>
      <c r="D3" s="9">
        <f>IFERROR(__xludf.DUMMYFUNCTION("IF(
  A3="""",
  """",
  AVERAGE(
    FILTER(
      'Inbound - Compras'!G:G / 'Inbound - Compras'!F:F,
      'Inbound - Compras'!B:B = A3
    )
  )
)
"),5.301356065192227)</f>
        <v>5.301356065</v>
      </c>
      <c r="E3" s="9">
        <f t="shared" si="1"/>
        <v>0.5607476636</v>
      </c>
      <c r="F3" s="9">
        <f t="shared" si="2"/>
        <v>0.8541145117</v>
      </c>
      <c r="G3" s="9">
        <f>E3*Parameters!$B$2 + F3*Parameters!$B$3</f>
        <v>2.268976687</v>
      </c>
      <c r="H3" s="6">
        <f t="shared" si="3"/>
        <v>7</v>
      </c>
    </row>
    <row r="4">
      <c r="A4" s="6" t="s">
        <v>14</v>
      </c>
      <c r="B4" s="9">
        <f>IF(A4="","",AVERAGEIF('Inbound - Compras'!B:B,A4,'Inbound - Compras'!H:H))</f>
        <v>13.76923077</v>
      </c>
      <c r="C4" s="9">
        <f>IFERROR(__xludf.DUMMYFUNCTION("IF(A4="""","""",STDEVP(FILTER('Inbound - Compras'!H:H,'Inbound - Compras'!B:B=A4)))
"),0.4213250442347432)</f>
        <v>0.4213250442</v>
      </c>
      <c r="D4" s="9">
        <f>IFERROR(__xludf.DUMMYFUNCTION("IF(
  A4="""",
  """",
  AVERAGE(
    FILTER(
      'Inbound - Compras'!G:G / 'Inbound - Compras'!F:F,
      'Inbound - Compras'!B:B = A4
    )
  )
)
"),2.9213093366422362)</f>
        <v>2.921309337</v>
      </c>
      <c r="E4" s="9">
        <f t="shared" si="1"/>
        <v>0.983465133</v>
      </c>
      <c r="F4" s="9">
        <f t="shared" si="2"/>
        <v>0.06643820961</v>
      </c>
      <c r="G4" s="9">
        <f>E4*Parameters!$B$2 + F4*Parameters!$B$3</f>
        <v>1.116341552</v>
      </c>
      <c r="H4" s="6">
        <f t="shared" si="3"/>
        <v>5</v>
      </c>
    </row>
    <row r="5">
      <c r="A5" s="6" t="s">
        <v>16</v>
      </c>
      <c r="B5" s="9">
        <f>IF(A5="","",AVERAGEIF('Inbound - Compras'!B:B,A5,'Inbound - Compras'!H:H))</f>
        <v>5</v>
      </c>
      <c r="C5" s="9">
        <f>IFERROR(__xludf.DUMMYFUNCTION("IF(A5="""","""",STDEVP(FILTER('Inbound - Compras'!H:H,'Inbound - Compras'!B:B=A5)))
"),0.0)</f>
        <v>0</v>
      </c>
      <c r="D5" s="9">
        <f>IFERROR(__xludf.DUMMYFUNCTION("IF(
  A5="""",
  """",
  AVERAGE(
    FILTER(
      'Inbound - Compras'!G:G / 'Inbound - Compras'!F:F,
      'Inbound - Compras'!B:B = A5
    )
  )
)
"),2.7205593038913545)</f>
        <v>2.720559304</v>
      </c>
      <c r="E5" s="9">
        <f t="shared" si="1"/>
        <v>0</v>
      </c>
      <c r="F5" s="9">
        <f t="shared" si="2"/>
        <v>0</v>
      </c>
      <c r="G5" s="9">
        <f>E5*Parameters!$B$2 + F5*Parameters!$B$3</f>
        <v>0</v>
      </c>
      <c r="H5" s="6">
        <f t="shared" si="3"/>
        <v>1</v>
      </c>
    </row>
    <row r="6">
      <c r="A6" s="6" t="s">
        <v>18</v>
      </c>
      <c r="B6" s="9">
        <f>IF(A6="","",AVERAGEIF('Inbound - Compras'!B:B,A6,'Inbound - Compras'!H:H))</f>
        <v>13</v>
      </c>
      <c r="C6" s="9">
        <f>IFERROR(__xludf.DUMMYFUNCTION("IF(A6="""","""",STDEVP(FILTER('Inbound - Compras'!H:H,'Inbound - Compras'!B:B=A6)))
"),0.0)</f>
        <v>0</v>
      </c>
      <c r="D6" s="9">
        <f>IFERROR(__xludf.DUMMYFUNCTION("IF(
  A6="""",
  """",
  AVERAGE(
    FILTER(
      'Inbound - Compras'!G:G / 'Inbound - Compras'!F:F,
      'Inbound - Compras'!B:B = A6
    )
  )
)
"),5.742164400273043)</f>
        <v>5.7421644</v>
      </c>
      <c r="E6" s="9">
        <f t="shared" si="1"/>
        <v>0.8971962617</v>
      </c>
      <c r="F6" s="9">
        <f t="shared" si="2"/>
        <v>1</v>
      </c>
      <c r="G6" s="9">
        <f>E6*Parameters!$B$2 + F6*Parameters!$B$3</f>
        <v>2.897196262</v>
      </c>
      <c r="H6" s="6">
        <f t="shared" si="3"/>
        <v>8</v>
      </c>
    </row>
    <row r="7">
      <c r="A7" s="6" t="s">
        <v>20</v>
      </c>
      <c r="B7" s="9">
        <f>IF(A7="","",AVERAGEIF('Inbound - Compras'!B:B,A7,'Inbound - Compras'!H:H))</f>
        <v>7.25</v>
      </c>
      <c r="C7" s="9">
        <f>IFERROR(__xludf.DUMMYFUNCTION("IF(A7="""","""",STDEVP(FILTER('Inbound - Compras'!H:H,'Inbound - Compras'!B:B=A7)))
"),0.43301270189221924)</f>
        <v>0.4330127019</v>
      </c>
      <c r="D7" s="9">
        <f>IFERROR(__xludf.DUMMYFUNCTION("IF(
  A7="""",
  """",
  AVERAGE(
    FILTER(
      'Inbound - Compras'!G:G / 'Inbound - Compras'!F:F,
      'Inbound - Compras'!B:B = A7
    )
  )
)
"),3.8823568863493363)</f>
        <v>3.882356886</v>
      </c>
      <c r="E7" s="9">
        <f t="shared" si="1"/>
        <v>0.2523364486</v>
      </c>
      <c r="F7" s="9">
        <f t="shared" si="2"/>
        <v>0.3844968305</v>
      </c>
      <c r="G7" s="9">
        <f>E7*Parameters!$B$2 + F7*Parameters!$B$3</f>
        <v>1.02133011</v>
      </c>
      <c r="H7" s="6">
        <f t="shared" si="3"/>
        <v>4</v>
      </c>
    </row>
    <row r="8">
      <c r="A8" s="6" t="s">
        <v>22</v>
      </c>
      <c r="B8" s="9">
        <f>IF(A8="","",AVERAGEIF('Inbound - Compras'!B:B,A8,'Inbound - Compras'!H:H))</f>
        <v>8</v>
      </c>
      <c r="C8" s="9">
        <f>IFERROR(__xludf.DUMMYFUNCTION("IF(A8="""","""",STDEVP(FILTER('Inbound - Compras'!H:H,'Inbound - Compras'!B:B=A8)))
"),0.0)</f>
        <v>0</v>
      </c>
      <c r="D8" s="9">
        <f>IFERROR(__xludf.DUMMYFUNCTION("IF(
  A8="""",
  """",
  AVERAGE(
    FILTER(
      'Inbound - Compras'!G:G / 'Inbound - Compras'!F:F,
      'Inbound - Compras'!B:B = A8
    )
  )
)
"),3.6898996463137728)</f>
        <v>3.689899646</v>
      </c>
      <c r="E8" s="9">
        <f t="shared" si="1"/>
        <v>0.3364485981</v>
      </c>
      <c r="F8" s="9">
        <f t="shared" si="2"/>
        <v>0.32080312</v>
      </c>
      <c r="G8" s="9">
        <f>E8*Parameters!$B$2 + F8*Parameters!$B$3</f>
        <v>0.9780548382</v>
      </c>
      <c r="H8" s="6">
        <f t="shared" si="3"/>
        <v>3</v>
      </c>
    </row>
    <row r="9">
      <c r="A9" s="6" t="s">
        <v>24</v>
      </c>
      <c r="B9" s="9">
        <f>IF(A9="","",AVERAGEIF('Inbound - Compras'!B:B,A9,'Inbound - Compras'!H:H))</f>
        <v>13.91666667</v>
      </c>
      <c r="C9" s="9">
        <f>IFERROR(__xludf.DUMMYFUNCTION("IF(A9="""","""",STDEVP(FILTER('Inbound - Compras'!H:H,'Inbound - Compras'!B:B=A9)))
"),0.2763853991962832)</f>
        <v>0.2763853992</v>
      </c>
      <c r="D9" s="9">
        <f>IFERROR(__xludf.DUMMYFUNCTION("IF(
  A9="""",
  """",
  AVERAGE(
    FILTER(
      'Inbound - Compras'!G:G / 'Inbound - Compras'!F:F,
      'Inbound - Compras'!B:B = A9
    )
  )
)
"),3.819862412836084)</f>
        <v>3.819862413</v>
      </c>
      <c r="E9" s="9">
        <f t="shared" si="1"/>
        <v>1</v>
      </c>
      <c r="F9" s="9">
        <f t="shared" si="2"/>
        <v>0.3638142887</v>
      </c>
      <c r="G9" s="9">
        <f>E9*Parameters!$B$2 + F9*Parameters!$B$3</f>
        <v>1.727628577</v>
      </c>
      <c r="H9" s="6">
        <f t="shared" si="3"/>
        <v>6</v>
      </c>
    </row>
    <row r="10">
      <c r="A10" s="6"/>
    </row>
  </sheetData>
  <autoFilter ref="$A$1:$Y$9"/>
  <conditionalFormatting sqref="E1:F993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1:H993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1:G993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124</v>
      </c>
      <c r="B1" s="10" t="s">
        <v>125</v>
      </c>
    </row>
    <row r="2">
      <c r="A2" s="4" t="s">
        <v>126</v>
      </c>
      <c r="B2" s="4">
        <v>1.0</v>
      </c>
    </row>
    <row r="3">
      <c r="A3" s="4" t="s">
        <v>127</v>
      </c>
      <c r="B3" s="4">
        <v>2.0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1.5"/>
  </cols>
  <sheetData>
    <row r="1">
      <c r="A1" s="11"/>
      <c r="B1" s="11"/>
      <c r="D1" s="11" t="s">
        <v>1</v>
      </c>
      <c r="E1" s="11" t="s">
        <v>117</v>
      </c>
      <c r="F1" s="11" t="s">
        <v>118</v>
      </c>
      <c r="G1" s="11" t="s">
        <v>119</v>
      </c>
      <c r="H1" s="11" t="s">
        <v>120</v>
      </c>
      <c r="I1" s="11" t="s">
        <v>121</v>
      </c>
      <c r="J1" s="11" t="s">
        <v>122</v>
      </c>
      <c r="K1" s="11" t="s">
        <v>123</v>
      </c>
      <c r="L1" s="11"/>
      <c r="M1" s="11"/>
    </row>
    <row r="2">
      <c r="D2" s="6" t="s">
        <v>10</v>
      </c>
      <c r="E2" s="9">
        <v>5.923076923076923</v>
      </c>
      <c r="F2" s="9">
        <v>0.26646935501059654</v>
      </c>
      <c r="G2" s="9">
        <v>3.088588176037938</v>
      </c>
      <c r="H2" s="9">
        <v>0.10352264557872039</v>
      </c>
      <c r="I2" s="9">
        <v>0.12179913006742371</v>
      </c>
      <c r="J2" s="9">
        <v>0.3471209057135678</v>
      </c>
      <c r="K2" s="6">
        <v>2.0</v>
      </c>
      <c r="M2" s="9"/>
    </row>
    <row r="3">
      <c r="D3" s="6" t="s">
        <v>12</v>
      </c>
      <c r="E3" s="9">
        <v>10.0</v>
      </c>
      <c r="F3" s="9">
        <v>0.0</v>
      </c>
      <c r="G3" s="9">
        <v>5.301356065192227</v>
      </c>
      <c r="H3" s="9">
        <v>0.5607476635514019</v>
      </c>
      <c r="I3" s="9">
        <v>0.8541145116518782</v>
      </c>
      <c r="J3" s="9">
        <v>2.2689766868551584</v>
      </c>
      <c r="K3" s="6">
        <v>7.0</v>
      </c>
      <c r="M3" s="9"/>
    </row>
    <row r="4">
      <c r="D4" s="6" t="s">
        <v>16</v>
      </c>
      <c r="E4" s="9">
        <v>5.0</v>
      </c>
      <c r="F4" s="9">
        <v>0.0</v>
      </c>
      <c r="G4" s="9">
        <v>2.7205593038913545</v>
      </c>
      <c r="H4" s="9">
        <v>0.0</v>
      </c>
      <c r="I4" s="9">
        <v>0.0</v>
      </c>
      <c r="J4" s="9">
        <v>0.0</v>
      </c>
      <c r="K4" s="6">
        <v>1.0</v>
      </c>
      <c r="M4" s="9"/>
    </row>
    <row r="5">
      <c r="D5" s="6" t="s">
        <v>18</v>
      </c>
      <c r="E5" s="9">
        <v>13.0</v>
      </c>
      <c r="F5" s="9">
        <v>0.0</v>
      </c>
      <c r="G5" s="9">
        <v>5.742164400273043</v>
      </c>
      <c r="H5" s="9">
        <v>0.8971962616822431</v>
      </c>
      <c r="I5" s="9">
        <v>1.0</v>
      </c>
      <c r="J5" s="9">
        <v>2.897196261682243</v>
      </c>
      <c r="K5" s="6">
        <v>8.0</v>
      </c>
      <c r="M5" s="9"/>
    </row>
    <row r="6">
      <c r="D6" s="6" t="s">
        <v>22</v>
      </c>
      <c r="E6" s="9">
        <v>8.0</v>
      </c>
      <c r="F6" s="9">
        <v>0.0</v>
      </c>
      <c r="G6" s="9">
        <v>3.6898996463137728</v>
      </c>
      <c r="H6" s="9">
        <v>0.33644859813084116</v>
      </c>
      <c r="I6" s="9">
        <v>0.3208031200315302</v>
      </c>
      <c r="J6" s="9">
        <v>0.9780548381939016</v>
      </c>
      <c r="K6" s="6">
        <v>3.0</v>
      </c>
      <c r="M6" s="9"/>
    </row>
    <row r="7">
      <c r="D7" s="6" t="s">
        <v>14</v>
      </c>
      <c r="E7" s="9">
        <v>13.76923076923077</v>
      </c>
      <c r="F7" s="9">
        <v>0.4213250442347432</v>
      </c>
      <c r="G7" s="9">
        <v>2.9213093366422362</v>
      </c>
      <c r="H7" s="9">
        <v>0.9834651329978434</v>
      </c>
      <c r="I7" s="9">
        <v>0.06643820960961308</v>
      </c>
      <c r="J7" s="9">
        <v>1.1163415522170697</v>
      </c>
      <c r="K7" s="6">
        <v>5.0</v>
      </c>
      <c r="M7" s="9"/>
    </row>
    <row r="8">
      <c r="D8" s="6" t="s">
        <v>24</v>
      </c>
      <c r="E8" s="9">
        <v>13.916666666666666</v>
      </c>
      <c r="F8" s="9">
        <v>0.2763853991962832</v>
      </c>
      <c r="G8" s="9">
        <v>3.819862412836084</v>
      </c>
      <c r="H8" s="9">
        <v>1.0</v>
      </c>
      <c r="I8" s="9">
        <v>0.36381428872393784</v>
      </c>
      <c r="J8" s="9">
        <v>1.7276285774478757</v>
      </c>
      <c r="K8" s="6">
        <v>6.0</v>
      </c>
      <c r="M8" s="9"/>
    </row>
    <row r="9">
      <c r="D9" s="6" t="s">
        <v>20</v>
      </c>
      <c r="E9" s="9">
        <v>7.25</v>
      </c>
      <c r="F9" s="9">
        <v>0.43301270189221924</v>
      </c>
      <c r="G9" s="9">
        <v>3.8823568863493363</v>
      </c>
      <c r="H9" s="9">
        <v>0.25233644859813087</v>
      </c>
      <c r="I9" s="9">
        <v>0.38449683045915267</v>
      </c>
      <c r="J9" s="9">
        <v>1.0213301095164362</v>
      </c>
      <c r="K9" s="6">
        <v>4.0</v>
      </c>
      <c r="M9" s="9"/>
    </row>
    <row r="12">
      <c r="A12" s="11" t="s">
        <v>1</v>
      </c>
      <c r="B12" s="11" t="s">
        <v>117</v>
      </c>
    </row>
    <row r="13">
      <c r="A13" s="6" t="s">
        <v>16</v>
      </c>
      <c r="B13" s="9">
        <v>5.0</v>
      </c>
    </row>
    <row r="14">
      <c r="A14" s="6" t="s">
        <v>10</v>
      </c>
      <c r="B14" s="9">
        <v>5.923076923076923</v>
      </c>
    </row>
    <row r="15">
      <c r="A15" s="6" t="s">
        <v>20</v>
      </c>
      <c r="B15" s="9">
        <v>7.25</v>
      </c>
    </row>
    <row r="16">
      <c r="A16" s="6" t="s">
        <v>22</v>
      </c>
      <c r="B16" s="9">
        <v>8.0</v>
      </c>
    </row>
    <row r="17">
      <c r="A17" s="6" t="s">
        <v>12</v>
      </c>
      <c r="B17" s="9">
        <v>10.0</v>
      </c>
    </row>
    <row r="18">
      <c r="A18" s="6" t="s">
        <v>18</v>
      </c>
      <c r="B18" s="9">
        <v>13.0</v>
      </c>
    </row>
    <row r="19">
      <c r="A19" s="6" t="s">
        <v>14</v>
      </c>
      <c r="B19" s="9">
        <v>13.76923076923077</v>
      </c>
    </row>
    <row r="20">
      <c r="A20" s="6" t="s">
        <v>24</v>
      </c>
      <c r="B20" s="9">
        <v>13.916666666666666</v>
      </c>
    </row>
    <row r="22">
      <c r="A22" s="12" t="s">
        <v>1</v>
      </c>
      <c r="B22" s="12" t="s">
        <v>119</v>
      </c>
    </row>
    <row r="23">
      <c r="A23" s="13" t="s">
        <v>16</v>
      </c>
      <c r="B23" s="14">
        <v>2.7205593038913545</v>
      </c>
    </row>
    <row r="24">
      <c r="A24" s="13" t="s">
        <v>14</v>
      </c>
      <c r="B24" s="14">
        <v>2.9213093366422362</v>
      </c>
    </row>
    <row r="25">
      <c r="A25" s="13" t="s">
        <v>10</v>
      </c>
      <c r="B25" s="14">
        <v>3.088588176037938</v>
      </c>
    </row>
    <row r="26">
      <c r="A26" s="13" t="s">
        <v>22</v>
      </c>
      <c r="B26" s="14">
        <v>3.6898996463137728</v>
      </c>
    </row>
    <row r="27">
      <c r="A27" s="13" t="s">
        <v>24</v>
      </c>
      <c r="B27" s="14">
        <v>3.819862412836084</v>
      </c>
    </row>
    <row r="28">
      <c r="A28" s="13" t="s">
        <v>20</v>
      </c>
      <c r="B28" s="14">
        <v>3.8823568863493363</v>
      </c>
    </row>
    <row r="29">
      <c r="A29" s="13" t="s">
        <v>12</v>
      </c>
      <c r="B29" s="14">
        <v>5.301356065192227</v>
      </c>
    </row>
    <row r="30">
      <c r="A30" s="13" t="s">
        <v>18</v>
      </c>
      <c r="B30" s="14">
        <v>5.742164400273043</v>
      </c>
    </row>
    <row r="33">
      <c r="A33" s="12" t="s">
        <v>1</v>
      </c>
      <c r="B33" s="12" t="s">
        <v>122</v>
      </c>
    </row>
    <row r="34">
      <c r="A34" s="13" t="s">
        <v>16</v>
      </c>
      <c r="B34" s="15">
        <v>0.0</v>
      </c>
    </row>
    <row r="35">
      <c r="A35" s="13" t="s">
        <v>10</v>
      </c>
      <c r="B35" s="16">
        <v>0.3471209057135678</v>
      </c>
    </row>
    <row r="36">
      <c r="A36" s="13" t="s">
        <v>22</v>
      </c>
      <c r="B36" s="17">
        <v>0.9780548381939016</v>
      </c>
    </row>
    <row r="37">
      <c r="A37" s="13" t="s">
        <v>20</v>
      </c>
      <c r="B37" s="18">
        <v>1.0213301095164362</v>
      </c>
    </row>
    <row r="38">
      <c r="A38" s="13" t="s">
        <v>14</v>
      </c>
      <c r="B38" s="19">
        <v>1.1163415522170697</v>
      </c>
    </row>
    <row r="39">
      <c r="A39" s="13" t="s">
        <v>24</v>
      </c>
      <c r="B39" s="20">
        <v>1.7276285774478757</v>
      </c>
    </row>
    <row r="40">
      <c r="A40" s="13" t="s">
        <v>12</v>
      </c>
      <c r="B40" s="21">
        <v>2.2689766868551584</v>
      </c>
    </row>
    <row r="41">
      <c r="A41" s="13" t="s">
        <v>18</v>
      </c>
      <c r="B41" s="22">
        <v>2.897196261682243</v>
      </c>
    </row>
  </sheetData>
  <autoFilter ref="$A$1:$AB$9">
    <sortState ref="A1:AB9">
      <sortCondition ref="D1:D9"/>
      <sortCondition ref="J1:J9"/>
      <sortCondition ref="G1:G9"/>
      <sortCondition ref="E1:E9"/>
    </sortState>
  </autoFilter>
  <conditionalFormatting sqref="G1:I9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1:K9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1:J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